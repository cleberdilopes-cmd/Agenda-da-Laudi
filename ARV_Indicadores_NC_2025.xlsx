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LEBER FACULDADE\Downloads\"/>
    </mc:Choice>
  </mc:AlternateContent>
  <xr:revisionPtr revIDLastSave="0" documentId="13_ncr:1_{BF05B64C-496E-4973-8B67-157C67FC2F94}" xr6:coauthVersionLast="47" xr6:coauthVersionMax="47" xr10:uidLastSave="{00000000-0000-0000-0000-000000000000}"/>
  <bookViews>
    <workbookView xWindow="0" yWindow="300" windowWidth="29040" windowHeight="15840" tabRatio="500" activeTab="1" xr2:uid="{00000000-000D-0000-FFFF-FFFF00000000}"/>
  </bookViews>
  <sheets>
    <sheet name="DASHBOARD" sheetId="1" r:id="rId1"/>
    <sheet name="DADOS_NC" sheetId="2" r:id="rId2"/>
    <sheet name="KPI_MÊS" sheetId="3" r:id="rId3"/>
    <sheet name="RANKING_PEÇAS" sheetId="4" r:id="rId4"/>
    <sheet name="TIPO_NC" sheetId="5" r:id="rId5"/>
    <sheet name="CLIENTE_DECISÃO" sheetId="6" r:id="rId6"/>
    <sheet name="CONEXÃO_LAS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<sst xmlns="http://schemas.openxmlformats.org/spreadsheetml/2006/main" count="1836" uniqueCount="256">
  <si>
    <t>ARV CNC MACHINING — DASHBOARD DE INDICADORES DE NÃO CONFORMIDADE</t>
  </si>
  <si>
    <t>Período: Abril a Junho 2025  |  Fonte: Gestão de NC — Fábrica</t>
  </si>
  <si>
    <t>TOTAL INSPECIONADO</t>
  </si>
  <si>
    <t>TOTAL DE NCs</t>
  </si>
  <si>
    <t>TAXA GERAL DE NC</t>
  </si>
  <si>
    <t>REGISTROS ATRASADOS</t>
  </si>
  <si>
    <t>28.205</t>
  </si>
  <si>
    <t>3.036</t>
  </si>
  <si>
    <t>10.8%</t>
  </si>
  <si>
    <t>40 / 210</t>
  </si>
  <si>
    <t>peças verificadas</t>
  </si>
  <si>
    <t>peças não conformes</t>
  </si>
  <si>
    <t>meta sugerida: &lt; 5%</t>
  </si>
  <si>
    <t>19% do total</t>
  </si>
  <si>
    <t>RETRABALHO</t>
  </si>
  <si>
    <t>REFUGO</t>
  </si>
  <si>
    <t>SOLDA (NCs p/ setor)</t>
  </si>
  <si>
    <t>SEM RASTREABILIDADE</t>
  </si>
  <si>
    <t>2.119</t>
  </si>
  <si>
    <t>711</t>
  </si>
  <si>
    <t>1.016</t>
  </si>
  <si>
    <t>1.869</t>
  </si>
  <si>
    <t>69.8% das NCs</t>
  </si>
  <si>
    <t>23.4% das NCs</t>
  </si>
  <si>
    <t>principal setor gerador</t>
  </si>
  <si>
    <t>NCs sem setor registrado</t>
  </si>
  <si>
    <t>⚠  61,5% das NCs não têm setor de origem registrado — evidência direta da falta de rastreabilidade que a folha de processo do laser resolve.</t>
  </si>
  <si>
    <t>✅  Com a folha de processo padronizada, cada peça NC poderá ter sua origem rastreada até o código LS (Nest) e PG (Programa) — viabilizando os KPIs do TCC.</t>
  </si>
  <si>
    <t>DADOS DE NÃO CONFORMIDADE — FÁBRICA ARV 2025</t>
  </si>
  <si>
    <t>INSPETOR</t>
  </si>
  <si>
    <t>CLIENTE</t>
  </si>
  <si>
    <t>DATA</t>
  </si>
  <si>
    <t>PART NUMBER</t>
  </si>
  <si>
    <t>NOME DA PEÇA</t>
  </si>
  <si>
    <t>QTDE INSP.</t>
  </si>
  <si>
    <t>QTDE NC</t>
  </si>
  <si>
    <t>% NC</t>
  </si>
  <si>
    <t>TIPO NC</t>
  </si>
  <si>
    <t>SETOR</t>
  </si>
  <si>
    <t>DECISÃO</t>
  </si>
  <si>
    <t>STATUS</t>
  </si>
  <si>
    <t>OBSERVAÇÕES</t>
  </si>
  <si>
    <t>Phelipe</t>
  </si>
  <si>
    <t>JCB</t>
  </si>
  <si>
    <t>980-89989</t>
  </si>
  <si>
    <t xml:space="preserve">CAÇAMBA </t>
  </si>
  <si>
    <t>PARAFUSO N/C</t>
  </si>
  <si>
    <t>RETRABALHAR</t>
  </si>
  <si>
    <t>OK</t>
  </si>
  <si>
    <t>CNH</t>
  </si>
  <si>
    <t>0030-40-0001</t>
  </si>
  <si>
    <t>VASSOURA</t>
  </si>
  <si>
    <t>FALTA DE SOLDA</t>
  </si>
  <si>
    <t xml:space="preserve">SOLDA  </t>
  </si>
  <si>
    <t>FOI RETRABALHADO 2 BUCHAS, FALTAM 2</t>
  </si>
  <si>
    <t>ACABAMENTO NÃO CONFORME</t>
  </si>
  <si>
    <t>LIDER DE PRODUÇÃO AVISADO</t>
  </si>
  <si>
    <t>POROSIDADE</t>
  </si>
  <si>
    <t>333-Y9582</t>
  </si>
  <si>
    <t>CHAPA</t>
  </si>
  <si>
    <t>DIMENSIONAL</t>
  </si>
  <si>
    <t>LIDER DE PRODUÇÃO AVISADO - MESMO ASSIM EMBARCOU COM CARTÃO AMARELO SEM LIBERAÇÃO DA QUALIDADE</t>
  </si>
  <si>
    <t>ATRASADO</t>
  </si>
  <si>
    <t>980/89993</t>
  </si>
  <si>
    <t>403-T8641</t>
  </si>
  <si>
    <t>OPERADOR REALIZOU RETRABALHO</t>
  </si>
  <si>
    <t>CHAPA ESQUERDA</t>
  </si>
  <si>
    <t>980/89991</t>
  </si>
  <si>
    <t>333-Y9583</t>
  </si>
  <si>
    <t>CHAPA DIREITA</t>
  </si>
  <si>
    <t>RESPINGO</t>
  </si>
  <si>
    <t>MORDEDURA</t>
  </si>
  <si>
    <t>0030-40-0004</t>
  </si>
  <si>
    <t>92190473FP</t>
  </si>
  <si>
    <t>Luciano</t>
  </si>
  <si>
    <t>123-00173</t>
  </si>
  <si>
    <t>ARGOLA</t>
  </si>
  <si>
    <t>123-00171</t>
  </si>
  <si>
    <t>IDENTIFICADO PEÇAS COM CARTÕES VERDE/AMARELO</t>
  </si>
  <si>
    <t>PEÇAS ÑOK SEGREGADAS NA AREA DA QUALIDADE</t>
  </si>
  <si>
    <t>92190476FP</t>
  </si>
  <si>
    <t>OPERADR REALIZOU RETRABALHO</t>
  </si>
  <si>
    <t>921-90473</t>
  </si>
  <si>
    <t>SUPORTE BRAÇO</t>
  </si>
  <si>
    <t>FALHA DE SOLDADOR ORIENTADO QUANTO AO RETRABALHO</t>
  </si>
  <si>
    <t>401/M1012</t>
  </si>
  <si>
    <t>SUPORTE LUZ FRONTAL</t>
  </si>
  <si>
    <t>FALHA DE SOLDADOR REALIZOU RETRABALHO</t>
  </si>
  <si>
    <t>0051-40-0001</t>
  </si>
  <si>
    <t>SAPATA</t>
  </si>
  <si>
    <t>FALHA DE SOLDADOR  RETRABALHOU</t>
  </si>
  <si>
    <t>CASE</t>
  </si>
  <si>
    <t>921-90476</t>
  </si>
  <si>
    <t>CONDICIONAL</t>
  </si>
  <si>
    <t>APROVADA  ENGENHEIRA RAMIRES</t>
  </si>
  <si>
    <t>265-01055</t>
  </si>
  <si>
    <t>SUPORTE</t>
  </si>
  <si>
    <t>REPROVADO BLANK MENOR/DOBRA</t>
  </si>
  <si>
    <t>403-H1910</t>
  </si>
  <si>
    <t>SUPORTE ESQ.</t>
  </si>
  <si>
    <t>SUPORTE DIR.</t>
  </si>
  <si>
    <t>ATERPA</t>
  </si>
  <si>
    <t>1000X700</t>
  </si>
  <si>
    <t>PORTA GRELHA</t>
  </si>
  <si>
    <t xml:space="preserve"> Phelipe</t>
  </si>
  <si>
    <t>REPASSAR FURAÇAO</t>
  </si>
  <si>
    <t>0030-50-0002</t>
  </si>
  <si>
    <t>0030-40-001</t>
  </si>
  <si>
    <t>263-34900</t>
  </si>
  <si>
    <t>ARGOLA FALHA DE SOLDADA</t>
  </si>
  <si>
    <t>333-D0105</t>
  </si>
  <si>
    <t>SUPORTE COM PORCA</t>
  </si>
  <si>
    <t>FABRICAÇÃO DE  OUTRAS  PEÇAS</t>
  </si>
  <si>
    <t>331-58423</t>
  </si>
  <si>
    <t>SUPORTE ZINCADO</t>
  </si>
  <si>
    <t>IDENTIFICADO PEÇAS PRA RETRABALHO E CARTÃO VERDE NAS APROVADAS</t>
  </si>
  <si>
    <t>339-40753</t>
  </si>
  <si>
    <t>RODA CONTAINER</t>
  </si>
  <si>
    <t>88/90</t>
  </si>
  <si>
    <t>TRILHO</t>
  </si>
  <si>
    <t>USINAGEM</t>
  </si>
  <si>
    <t>0030-40-004</t>
  </si>
  <si>
    <t>1000 X 700</t>
  </si>
  <si>
    <t>403-P3976</t>
  </si>
  <si>
    <t>123-04730</t>
  </si>
  <si>
    <t>BUCHA ROSCADA M10</t>
  </si>
  <si>
    <t>REUGO</t>
  </si>
  <si>
    <t>DEIXEI PEÇA ÑOK NA AREA DA QUALIDADE</t>
  </si>
  <si>
    <t>332-Y9468</t>
  </si>
  <si>
    <t>CALHA</t>
  </si>
  <si>
    <t>402-N6926</t>
  </si>
  <si>
    <t>RETRABALHO FALHA DE USINAGEM</t>
  </si>
  <si>
    <t>TEMPO</t>
  </si>
  <si>
    <t>88</t>
  </si>
  <si>
    <t>FIXADOR DO TRILHO</t>
  </si>
  <si>
    <t>RETRABALHAR/TRILHO</t>
  </si>
  <si>
    <t>JEFERSON RETRABALHOU</t>
  </si>
  <si>
    <t>CHAPA TETO</t>
  </si>
  <si>
    <t>404-B5504</t>
  </si>
  <si>
    <t>BUSA</t>
  </si>
  <si>
    <t>LC-2218-A</t>
  </si>
  <si>
    <t>SOLICITEI RETRABALHO AO FALHA DE SOLDADOR</t>
  </si>
  <si>
    <t>APROVADA</t>
  </si>
  <si>
    <t>BRUMATO</t>
  </si>
  <si>
    <t>WASHER</t>
  </si>
  <si>
    <t>0064-30-0001</t>
  </si>
  <si>
    <t>MOLDURA</t>
  </si>
  <si>
    <t>00RETRABALHAR</t>
  </si>
  <si>
    <t>RETRRABALHAR</t>
  </si>
  <si>
    <t>980-89990</t>
  </si>
  <si>
    <t>98089991</t>
  </si>
  <si>
    <t>303Y9583/82</t>
  </si>
  <si>
    <t>0019-980-A7495</t>
  </si>
  <si>
    <t>Cláudio</t>
  </si>
  <si>
    <t>980-89991</t>
  </si>
  <si>
    <t>RETRABLHAR</t>
  </si>
  <si>
    <t>CHAPA TETO LE</t>
  </si>
  <si>
    <t>980-89994</t>
  </si>
  <si>
    <t>IDENTIFICADO COM CARTÃO E AVISADO LIDER DE PRODUÇÃO</t>
  </si>
  <si>
    <t>1000X1000</t>
  </si>
  <si>
    <t>PORTA TAMPA</t>
  </si>
  <si>
    <t>CHAPA TETO LD</t>
  </si>
  <si>
    <t>PEÇAS IDENTIFICADAS</t>
  </si>
  <si>
    <t>332-67724</t>
  </si>
  <si>
    <t>X</t>
  </si>
  <si>
    <t>0039-40-0001</t>
  </si>
  <si>
    <t>RODA ESCRAVA</t>
  </si>
  <si>
    <t>BATENTE DE AÇO M10</t>
  </si>
  <si>
    <t>APROVADO</t>
  </si>
  <si>
    <t>0058</t>
  </si>
  <si>
    <t>LIFT BAG</t>
  </si>
  <si>
    <t>40302351</t>
  </si>
  <si>
    <t>DEGRAU</t>
  </si>
  <si>
    <t>ARGOLA SOLDADA</t>
  </si>
  <si>
    <t>LIDER DE PRODUÇÃO REFUGOU</t>
  </si>
  <si>
    <t>980-89999</t>
  </si>
  <si>
    <t>0064-30-0002</t>
  </si>
  <si>
    <t>BARRA CHATA</t>
  </si>
  <si>
    <t>40302271</t>
  </si>
  <si>
    <t>123-03701</t>
  </si>
  <si>
    <t>CHAPA REDONDA</t>
  </si>
  <si>
    <t>USINAGEM CNC</t>
  </si>
  <si>
    <t>PEÇAS IDENTIFICADAS NA AREA DA QUALIDADE.</t>
  </si>
  <si>
    <t>404-F4178</t>
  </si>
  <si>
    <t xml:space="preserve"> </t>
  </si>
  <si>
    <t>403-E0485</t>
  </si>
  <si>
    <t>90192473FP</t>
  </si>
  <si>
    <t>0064-30-0003</t>
  </si>
  <si>
    <t>INDICADORES MENSAIS — EVOLUÇÃO DE NÃO CONFORMIDADES</t>
  </si>
  <si>
    <t>Comparativo mensal | Taxa NC = Qtde NC / Qtde Inspecionada</t>
  </si>
  <si>
    <t>MÊS</t>
  </si>
  <si>
    <t>TAXA NC (%)</t>
  </si>
  <si>
    <t>TAXA RETRABALHO</t>
  </si>
  <si>
    <t>TAXA REFUGO</t>
  </si>
  <si>
    <t>Abril/2025</t>
  </si>
  <si>
    <t>Maio/2025</t>
  </si>
  <si>
    <t>Junho/2025</t>
  </si>
  <si>
    <t>TOTAL GERAL</t>
  </si>
  <si>
    <t>RANKING DE PEÇAS — MAIOR GERAÇÃO DE NÃO CONFORMIDADES</t>
  </si>
  <si>
    <t>Top 10 peças com maior volume de NC acumulado | Abr–Jun 2025</t>
  </si>
  <si>
    <t>#</t>
  </si>
  <si>
    <t>% DO TOTAL</t>
  </si>
  <si>
    <t>PRIORIDADE</t>
  </si>
  <si>
    <t>🔴 CRÍTICA</t>
  </si>
  <si>
    <t>🟠 ALTA</t>
  </si>
  <si>
    <t>🟡 MÉDIA</t>
  </si>
  <si>
    <t>🟢 BAIXA</t>
  </si>
  <si>
    <t>ANÁLISE POR TIPO DE NÃO CONFORMIDADE</t>
  </si>
  <si>
    <t>Classificação das ocorrências por tipo de defeito | Abr–Jun 2025</t>
  </si>
  <si>
    <t>TIPO DE NC</t>
  </si>
  <si>
    <t>DECISÃO MAIS COMUM</t>
  </si>
  <si>
    <t>NCs POR CLIENTE E DECISÃO</t>
  </si>
  <si>
    <t>Distribuição de retrabalho e refugo por cliente | Abr–Jun 2025</t>
  </si>
  <si>
    <t>POR CLIENTE</t>
  </si>
  <si>
    <t>% TOTAL</t>
  </si>
  <si>
    <t>Retrabalhar</t>
  </si>
  <si>
    <t>Refugo</t>
  </si>
  <si>
    <t>Usinagem CNC</t>
  </si>
  <si>
    <t>Aprovado</t>
  </si>
  <si>
    <t>Condicional</t>
  </si>
  <si>
    <t>CONEXÃO COM O PROCESSO DE CORTE A LASER — TCC</t>
  </si>
  <si>
    <t>Como os dados de NC se conectam com a proposta de padronização da folha de processo</t>
  </si>
  <si>
    <t>PROBLEMA IDENTIFICADO NAS NCs</t>
  </si>
  <si>
    <t>DADO</t>
  </si>
  <si>
    <t>CONEXÃO COM O LASER</t>
  </si>
  <si>
    <t>AÇÃO DA FOLHA DE PROCESSO</t>
  </si>
  <si>
    <t>61,5% das NCs sem setor de origem</t>
  </si>
  <si>
    <t>1.869 de 3.036 NCs</t>
  </si>
  <si>
    <t>Sem rastreabilidade de onde vem a peça</t>
  </si>
  <si>
    <t>Código LS + PG identifica cada nest e peça</t>
  </si>
  <si>
    <t>NCs Dimensionais = maior tipo (40%)</t>
  </si>
  <si>
    <t>1.217 peças</t>
  </si>
  <si>
    <t>Erros de espessura no corte geram dimensional</t>
  </si>
  <si>
    <t>Campo de espessura e material obrigatório</t>
  </si>
  <si>
    <t>Argola concentra 38% das NCs</t>
  </si>
  <si>
    <t>1.158 peças</t>
  </si>
  <si>
    <t>Argola é cortada no laser como 1ª operação</t>
  </si>
  <si>
    <t>Histórico por peça via código do nest</t>
  </si>
  <si>
    <t>19% dos registros atrasados</t>
  </si>
  <si>
    <t>40 ocorrências</t>
  </si>
  <si>
    <t>Sem controle formal da sequência</t>
  </si>
  <si>
    <t>Status e sequência registrados diariamente</t>
  </si>
  <si>
    <t>Cortes duplicados geravam retrabalho</t>
  </si>
  <si>
    <t>Não mensurado antes</t>
  </si>
  <si>
    <t>Sem registro = sem controle de execução</t>
  </si>
  <si>
    <t>Coluna STATUS elimina duplicidade</t>
  </si>
  <si>
    <t>Taxa NC geral: 10,8%</t>
  </si>
  <si>
    <t>Linha de base 2025</t>
  </si>
  <si>
    <t>KPI de referência pré-implantação</t>
  </si>
  <si>
    <t>Permite medir melhoria pós-implantação</t>
  </si>
  <si>
    <t xml:space="preserve"> Abril a Junho 2025</t>
  </si>
  <si>
    <t>APROVADA  ENGENHEIRA</t>
  </si>
  <si>
    <t>IREI VERIFICAR  A PROCEDENCIA DAS N/C'S QUE ENCONTREI</t>
  </si>
  <si>
    <t xml:space="preserve"> RETRABALHOU</t>
  </si>
  <si>
    <t>RETRABALHOU</t>
  </si>
  <si>
    <t xml:space="preserve">LIBERADAS PELO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</si>
</sst>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20"/>
      <color rgb="FF1F3864"/>
      <name val="Arial"/>
      <family val="2"/>
    </font>
    <font>
      <b/>
      <sz val="20"/>
      <color rgb="FF7B0000"/>
      <name val="Arial"/>
      <family val="2"/>
    </font>
    <font>
      <b/>
      <sz val="20"/>
      <color rgb="FF7B3200"/>
      <name val="Arial"/>
      <family val="2"/>
    </font>
    <font>
      <i/>
      <sz val="9"/>
      <color rgb="FF595959"/>
      <name val="Arial"/>
      <family val="2"/>
    </font>
    <font>
      <sz val="10"/>
      <color rgb="FF7B3200"/>
      <name val="Arial"/>
      <family val="2"/>
    </font>
    <font>
      <sz val="10"/>
      <color rgb="FF375623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375623"/>
      <name val="Arial"/>
      <family val="2"/>
    </font>
    <font>
      <b/>
      <sz val="9"/>
      <color rgb="FF7B0000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7B0000"/>
      <name val="Arial"/>
      <family val="2"/>
    </font>
    <font>
      <b/>
      <sz val="10"/>
      <color rgb="FFFFC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85FA5"/>
      </patternFill>
    </fill>
    <fill>
      <patternFill patternType="solid">
        <fgColor rgb="FFD9E1F2"/>
        <bgColor rgb="FFD6DCE4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D6DCE4"/>
        <bgColor rgb="FFD9D9D9"/>
      </patternFill>
    </fill>
    <fill>
      <patternFill patternType="solid">
        <fgColor rgb="FFFFFF00"/>
        <bgColor rgb="FFF9F9F9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0" fillId="3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164" fontId="15" fillId="7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/>
    </xf>
    <xf numFmtId="164" fontId="15" fillId="9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164" fontId="15" fillId="10" borderId="1" xfId="0" applyNumberFormat="1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14" fontId="10" fillId="3" borderId="1" xfId="0" applyNumberFormat="1" applyFont="1" applyFill="1" applyBorder="1" applyAlignment="1">
      <alignment horizontal="center" vertical="center"/>
    </xf>
    <xf numFmtId="14" fontId="11" fillId="7" borderId="1" xfId="0" applyNumberFormat="1" applyFont="1" applyFill="1" applyBorder="1" applyAlignment="1">
      <alignment horizontal="center" vertical="center"/>
    </xf>
    <xf numFmtId="14" fontId="11" fillId="9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" fontId="11" fillId="9" borderId="1" xfId="0" applyNumberFormat="1" applyFont="1" applyFill="1" applyBorder="1" applyAlignment="1">
      <alignment horizontal="center" vertical="center"/>
    </xf>
    <xf numFmtId="1" fontId="11" fillId="7" borderId="1" xfId="0" applyNumberFormat="1" applyFont="1" applyFill="1" applyBorder="1" applyAlignment="1">
      <alignment horizontal="center" vertical="center"/>
    </xf>
    <xf numFmtId="10" fontId="11" fillId="7" borderId="1" xfId="0" applyNumberFormat="1" applyFont="1" applyFill="1" applyBorder="1" applyAlignment="1">
      <alignment horizontal="center" vertical="center"/>
    </xf>
    <xf numFmtId="10" fontId="11" fillId="9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2F5496"/>
      <rgbColor rgb="FFB8B8B8"/>
      <rgbColor rgb="FF878787"/>
      <rgbColor rgb="FF93A9CE"/>
      <rgbColor rgb="FFA32D2D"/>
      <rgbColor rgb="FFFFF2CC"/>
      <rgbColor rgb="FFF2F2F2"/>
      <rgbColor rgb="FF660066"/>
      <rgbColor rgb="FFDC853E"/>
      <rgbColor rgb="FF185FA5"/>
      <rgbColor rgb="FFD6DCE4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9E1F2"/>
      <rgbColor rgb="FFE2EFDA"/>
      <rgbColor rgb="FFF9F9F9"/>
      <rgbColor rgb="FFD9D9D9"/>
      <rgbColor rgb="FFFF99CC"/>
      <rgbColor rgb="FFCC99FF"/>
      <rgbColor rgb="FFFCE4D6"/>
      <rgbColor rgb="FF4672A8"/>
      <rgbColor rgb="FF33CCCC"/>
      <rgbColor rgb="FF99CC00"/>
      <rgbColor rgb="FFFFC000"/>
      <rgbColor rgb="FFFF9900"/>
      <rgbColor rgb="FFFF6600"/>
      <rgbColor rgb="FF725990"/>
      <rgbColor rgb="FF8AA64F"/>
      <rgbColor rgb="FF1F3864"/>
      <rgbColor rgb="FF4299B0"/>
      <rgbColor rgb="FF003300"/>
      <rgbColor rgb="FF595959"/>
      <rgbColor rgb="FF7B3200"/>
      <rgbColor rgb="FFAB4744"/>
      <rgbColor rgb="FF533AB7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Taxa de NC por Mês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KPI_MÊS!$D$4</c:f>
              <c:strCache>
                <c:ptCount val="1"/>
                <c:pt idx="0">
                  <c:v>TAXA NC (%)</c:v>
                </c:pt>
              </c:strCache>
            </c:strRef>
          </c:tx>
          <c:spPr>
            <a:ln w="24840">
              <a:solidFill>
                <a:srgbClr val="A32D2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KPI_MÊS!$A$5:$A$7</c:f>
              <c:strCache>
                <c:ptCount val="3"/>
                <c:pt idx="0">
                  <c:v>Abril/2025</c:v>
                </c:pt>
                <c:pt idx="1">
                  <c:v>Maio/2025</c:v>
                </c:pt>
                <c:pt idx="2">
                  <c:v>Junho/2025</c:v>
                </c:pt>
              </c:strCache>
            </c:strRef>
          </c:cat>
          <c:val>
            <c:numRef>
              <c:f>KPI_MÊS!$D$5:$D$7</c:f>
              <c:numCache>
                <c:formatCode>0.0%</c:formatCode>
                <c:ptCount val="3"/>
                <c:pt idx="0">
                  <c:v>0.117030380830124</c:v>
                </c:pt>
                <c:pt idx="1">
                  <c:v>6.6813610690177702E-2</c:v>
                </c:pt>
                <c:pt idx="2">
                  <c:v>0.22401474994238299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8D-4698-AABE-8AC408DA2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250043"/>
        <c:axId val="33278370"/>
      </c:lineChart>
      <c:catAx>
        <c:axId val="342500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3278370"/>
        <c:crosses val="autoZero"/>
        <c:auto val="1"/>
        <c:lblAlgn val="ctr"/>
        <c:lblOffset val="100"/>
        <c:noMultiLvlLbl val="0"/>
      </c:catAx>
      <c:valAx>
        <c:axId val="33278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Taxa NC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4250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Top 10 Peças — Volume de NCs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RANKING_PEÇAS!$C$4</c:f>
              <c:strCache>
                <c:ptCount val="1"/>
                <c:pt idx="0">
                  <c:v>QTDE NC</c:v>
                </c:pt>
              </c:strCache>
            </c:strRef>
          </c:tx>
          <c:spPr>
            <a:solidFill>
              <a:srgbClr val="A32D2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RANKING_PEÇAS!$B$5:$B$14</c:f>
              <c:strCache>
                <c:ptCount val="10"/>
                <c:pt idx="0">
                  <c:v>ARGOLA</c:v>
                </c:pt>
                <c:pt idx="1">
                  <c:v>ARGOLA SOLDADA</c:v>
                </c:pt>
                <c:pt idx="2">
                  <c:v>CHAPA REDONDA</c:v>
                </c:pt>
                <c:pt idx="3">
                  <c:v>CAÇAMBA </c:v>
                </c:pt>
                <c:pt idx="4">
                  <c:v>BATENTE DE AÇO M10</c:v>
                </c:pt>
                <c:pt idx="5">
                  <c:v>PORTA GRELHA</c:v>
                </c:pt>
                <c:pt idx="6">
                  <c:v>BARRA CHATA</c:v>
                </c:pt>
                <c:pt idx="7">
                  <c:v>SUPORTE</c:v>
                </c:pt>
                <c:pt idx="8">
                  <c:v>DEGRAU</c:v>
                </c:pt>
                <c:pt idx="9">
                  <c:v>ARGOLA FALHA DE SOLDADA</c:v>
                </c:pt>
              </c:strCache>
            </c:strRef>
          </c:cat>
          <c:val>
            <c:numRef>
              <c:f>RANKING_PEÇAS!$C$5:$C$14</c:f>
              <c:numCache>
                <c:formatCode>General</c:formatCode>
                <c:ptCount val="10"/>
                <c:pt idx="0">
                  <c:v>1158</c:v>
                </c:pt>
                <c:pt idx="1">
                  <c:v>315</c:v>
                </c:pt>
                <c:pt idx="2">
                  <c:v>213</c:v>
                </c:pt>
                <c:pt idx="3">
                  <c:v>169</c:v>
                </c:pt>
                <c:pt idx="4">
                  <c:v>129</c:v>
                </c:pt>
                <c:pt idx="5">
                  <c:v>120</c:v>
                </c:pt>
                <c:pt idx="6">
                  <c:v>101</c:v>
                </c:pt>
                <c:pt idx="7">
                  <c:v>100</c:v>
                </c:pt>
                <c:pt idx="8">
                  <c:v>96</c:v>
                </c:pt>
                <c:pt idx="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4-4038-A215-5AC400A81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29665"/>
        <c:axId val="67997822"/>
      </c:barChart>
      <c:catAx>
        <c:axId val="632966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Peça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7997822"/>
        <c:crosses val="autoZero"/>
        <c:auto val="1"/>
        <c:lblAlgn val="ctr"/>
        <c:lblOffset val="100"/>
        <c:noMultiLvlLbl val="0"/>
      </c:catAx>
      <c:valAx>
        <c:axId val="679978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Qtde NC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3296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Distribuição por Tipo de NC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TIPO_NC!$B$4</c:f>
              <c:strCache>
                <c:ptCount val="1"/>
                <c:pt idx="0">
                  <c:v>QTDE NC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5A8-49C7-AB8B-21A8886B7F5B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5A8-49C7-AB8B-21A8886B7F5B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5A8-49C7-AB8B-21A8886B7F5B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85A8-49C7-AB8B-21A8886B7F5B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85A8-49C7-AB8B-21A8886B7F5B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85A8-49C7-AB8B-21A8886B7F5B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85A8-49C7-AB8B-21A8886B7F5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A8-49C7-AB8B-21A8886B7F5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A8-49C7-AB8B-21A8886B7F5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A8-49C7-AB8B-21A8886B7F5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A8-49C7-AB8B-21A8886B7F5B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5A8-49C7-AB8B-21A8886B7F5B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A8-49C7-AB8B-21A8886B7F5B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5A8-49C7-AB8B-21A8886B7F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TIPO_NC!$A$5:$A$11</c:f>
              <c:strCache>
                <c:ptCount val="7"/>
                <c:pt idx="0">
                  <c:v>DIMENSIONAL</c:v>
                </c:pt>
                <c:pt idx="1">
                  <c:v>ACABAMENTO NÃO CONFORME</c:v>
                </c:pt>
                <c:pt idx="2">
                  <c:v>FALTA DE SOLDA</c:v>
                </c:pt>
                <c:pt idx="3">
                  <c:v>RESPINGO</c:v>
                </c:pt>
                <c:pt idx="4">
                  <c:v>POROSIDADE</c:v>
                </c:pt>
                <c:pt idx="5">
                  <c:v>PARAFUSO N/C</c:v>
                </c:pt>
                <c:pt idx="6">
                  <c:v>MORDEDURA</c:v>
                </c:pt>
              </c:strCache>
            </c:strRef>
          </c:cat>
          <c:val>
            <c:numRef>
              <c:f>TIPO_NC!$B$5:$B$11</c:f>
              <c:numCache>
                <c:formatCode>General</c:formatCode>
                <c:ptCount val="7"/>
                <c:pt idx="0">
                  <c:v>1217</c:v>
                </c:pt>
                <c:pt idx="1">
                  <c:v>862</c:v>
                </c:pt>
                <c:pt idx="2">
                  <c:v>530</c:v>
                </c:pt>
                <c:pt idx="3">
                  <c:v>186</c:v>
                </c:pt>
                <c:pt idx="4">
                  <c:v>129</c:v>
                </c:pt>
                <c:pt idx="5">
                  <c:v>21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5A8-49C7-AB8B-21A8886B7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NCs por Cliente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CLIENTE_DECISÃO!$B$4</c:f>
              <c:strCache>
                <c:ptCount val="1"/>
                <c:pt idx="0">
                  <c:v>QTDE NC</c:v>
                </c:pt>
              </c:strCache>
            </c:strRef>
          </c:tx>
          <c:spPr>
            <a:solidFill>
              <a:srgbClr val="185FA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CLIENTE_DECISÃO!$A$5:$A$11</c:f>
              <c:strCache>
                <c:ptCount val="7"/>
                <c:pt idx="0">
                  <c:v>JCB</c:v>
                </c:pt>
                <c:pt idx="1">
                  <c:v>ATERPA</c:v>
                </c:pt>
                <c:pt idx="2">
                  <c:v>CNH</c:v>
                </c:pt>
                <c:pt idx="3">
                  <c:v>TEMPO</c:v>
                </c:pt>
                <c:pt idx="4">
                  <c:v>BRUMATO</c:v>
                </c:pt>
                <c:pt idx="5">
                  <c:v>CASE</c:v>
                </c:pt>
                <c:pt idx="6">
                  <c:v>BUSA</c:v>
                </c:pt>
              </c:strCache>
            </c:strRef>
          </c:cat>
          <c:val>
            <c:numRef>
              <c:f>CLIENTE_DECISÃO!$B$5:$B$11</c:f>
              <c:numCache>
                <c:formatCode>General</c:formatCode>
                <c:ptCount val="7"/>
                <c:pt idx="0">
                  <c:v>2731</c:v>
                </c:pt>
                <c:pt idx="1">
                  <c:v>163</c:v>
                </c:pt>
                <c:pt idx="2">
                  <c:v>90</c:v>
                </c:pt>
                <c:pt idx="3">
                  <c:v>24</c:v>
                </c:pt>
                <c:pt idx="4">
                  <c:v>21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B-4AB6-9E71-45E3CD489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39973"/>
        <c:axId val="52473901"/>
      </c:barChart>
      <c:catAx>
        <c:axId val="13739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2473901"/>
        <c:crosses val="autoZero"/>
        <c:auto val="1"/>
        <c:lblAlgn val="ctr"/>
        <c:lblOffset val="100"/>
        <c:noMultiLvlLbl val="0"/>
      </c:catAx>
      <c:valAx>
        <c:axId val="52473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37399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19</xdr:col>
      <xdr:colOff>364680</xdr:colOff>
      <xdr:row>23</xdr:row>
      <xdr:rowOff>166680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17</xdr:col>
      <xdr:colOff>473400</xdr:colOff>
      <xdr:row>26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15</xdr:col>
      <xdr:colOff>364680</xdr:colOff>
      <xdr:row>27</xdr:row>
      <xdr:rowOff>115200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400050</xdr:colOff>
      <xdr:row>2</xdr:row>
      <xdr:rowOff>180975</xdr:rowOff>
    </xdr:from>
    <xdr:to>
      <xdr:col>18</xdr:col>
      <xdr:colOff>74985</xdr:colOff>
      <xdr:row>23</xdr:row>
      <xdr:rowOff>147435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N14"/>
  <sheetViews>
    <sheetView showGridLines="0" zoomScaleNormal="100" workbookViewId="0">
      <selection activeCell="H24" sqref="H24"/>
    </sheetView>
  </sheetViews>
  <sheetFormatPr defaultColWidth="8.7109375" defaultRowHeight="15" x14ac:dyDescent="0.25"/>
  <cols>
    <col min="1" max="1" width="2" customWidth="1"/>
    <col min="2" max="2" width="18" customWidth="1"/>
    <col min="3" max="6" width="14" customWidth="1"/>
    <col min="7" max="7" width="2" customWidth="1"/>
    <col min="8" max="8" width="18" customWidth="1"/>
    <col min="9" max="12" width="14" customWidth="1"/>
    <col min="13" max="13" width="2" customWidth="1"/>
  </cols>
  <sheetData>
    <row r="1" spans="1:14" ht="31.5" customHeight="1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8" customHeight="1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7.5" customHeight="1" x14ac:dyDescent="0.25"/>
    <row r="4" spans="1:14" ht="18" customHeight="1" x14ac:dyDescent="0.25">
      <c r="B4" s="52" t="s">
        <v>2</v>
      </c>
      <c r="C4" s="52"/>
      <c r="E4" s="52" t="s">
        <v>3</v>
      </c>
      <c r="F4" s="52"/>
      <c r="H4" s="52" t="s">
        <v>4</v>
      </c>
      <c r="I4" s="52"/>
      <c r="K4" s="52" t="s">
        <v>5</v>
      </c>
      <c r="L4" s="52"/>
    </row>
    <row r="5" spans="1:14" ht="36" customHeight="1" x14ac:dyDescent="0.25">
      <c r="B5" s="55" t="s">
        <v>6</v>
      </c>
      <c r="C5" s="55"/>
      <c r="E5" s="54" t="s">
        <v>7</v>
      </c>
      <c r="F5" s="54"/>
      <c r="H5" s="54" t="s">
        <v>8</v>
      </c>
      <c r="I5" s="54"/>
      <c r="K5" s="53" t="s">
        <v>9</v>
      </c>
      <c r="L5" s="53"/>
    </row>
    <row r="6" spans="1:14" ht="15.75" customHeight="1" x14ac:dyDescent="0.25">
      <c r="B6" s="50" t="s">
        <v>10</v>
      </c>
      <c r="C6" s="50"/>
      <c r="E6" s="50" t="s">
        <v>11</v>
      </c>
      <c r="F6" s="50"/>
      <c r="H6" s="50" t="s">
        <v>12</v>
      </c>
      <c r="I6" s="50"/>
      <c r="K6" s="50" t="s">
        <v>13</v>
      </c>
      <c r="L6" s="50"/>
    </row>
    <row r="7" spans="1:14" ht="7.5" customHeight="1" x14ac:dyDescent="0.25"/>
    <row r="8" spans="1:14" ht="18" customHeight="1" x14ac:dyDescent="0.25">
      <c r="B8" s="52" t="s">
        <v>14</v>
      </c>
      <c r="C8" s="52"/>
      <c r="E8" s="52" t="s">
        <v>15</v>
      </c>
      <c r="F8" s="52"/>
      <c r="H8" s="52" t="s">
        <v>16</v>
      </c>
      <c r="I8" s="52"/>
      <c r="K8" s="52" t="s">
        <v>17</v>
      </c>
      <c r="L8" s="52"/>
    </row>
    <row r="9" spans="1:14" ht="36" customHeight="1" x14ac:dyDescent="0.25">
      <c r="B9" s="53" t="s">
        <v>18</v>
      </c>
      <c r="C9" s="53"/>
      <c r="E9" s="54" t="s">
        <v>19</v>
      </c>
      <c r="F9" s="54"/>
      <c r="H9" s="55" t="s">
        <v>20</v>
      </c>
      <c r="I9" s="55"/>
      <c r="K9" s="54" t="s">
        <v>21</v>
      </c>
      <c r="L9" s="54"/>
    </row>
    <row r="10" spans="1:14" ht="15.75" customHeight="1" x14ac:dyDescent="0.25">
      <c r="B10" s="50" t="s">
        <v>22</v>
      </c>
      <c r="C10" s="50"/>
      <c r="E10" s="50" t="s">
        <v>23</v>
      </c>
      <c r="F10" s="50"/>
      <c r="H10" s="50" t="s">
        <v>24</v>
      </c>
      <c r="I10" s="50"/>
      <c r="K10" s="50" t="s">
        <v>25</v>
      </c>
      <c r="L10" s="50"/>
    </row>
    <row r="12" spans="1:14" ht="7.5" customHeight="1" x14ac:dyDescent="0.25"/>
    <row r="13" spans="1:14" ht="27.75" customHeight="1" x14ac:dyDescent="0.25">
      <c r="B13" s="51" t="s">
        <v>26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</row>
    <row r="14" spans="1:14" ht="27.75" customHeight="1" x14ac:dyDescent="0.25">
      <c r="B14" s="49" t="s">
        <v>27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</sheetData>
  <mergeCells count="28">
    <mergeCell ref="A1:N1"/>
    <mergeCell ref="A2:N2"/>
    <mergeCell ref="B4:C4"/>
    <mergeCell ref="E4:F4"/>
    <mergeCell ref="H4:I4"/>
    <mergeCell ref="K4:L4"/>
    <mergeCell ref="B5:C5"/>
    <mergeCell ref="E5:F5"/>
    <mergeCell ref="H5:I5"/>
    <mergeCell ref="K5:L5"/>
    <mergeCell ref="B6:C6"/>
    <mergeCell ref="E6:F6"/>
    <mergeCell ref="H6:I6"/>
    <mergeCell ref="K6:L6"/>
    <mergeCell ref="B8:C8"/>
    <mergeCell ref="E8:F8"/>
    <mergeCell ref="H8:I8"/>
    <mergeCell ref="K8:L8"/>
    <mergeCell ref="B9:C9"/>
    <mergeCell ref="E9:F9"/>
    <mergeCell ref="H9:I9"/>
    <mergeCell ref="K9:L9"/>
    <mergeCell ref="B14:M14"/>
    <mergeCell ref="B10:C10"/>
    <mergeCell ref="E10:F10"/>
    <mergeCell ref="H10:I10"/>
    <mergeCell ref="K10:L10"/>
    <mergeCell ref="B13:M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N214"/>
  <sheetViews>
    <sheetView showGridLines="0" tabSelected="1" zoomScale="90" zoomScaleNormal="90" workbookViewId="0">
      <pane ySplit="4" topLeftCell="A5" activePane="bottomLeft" state="frozen"/>
      <selection pane="bottomLeft" activeCell="R19" sqref="R19"/>
    </sheetView>
  </sheetViews>
  <sheetFormatPr defaultColWidth="8.7109375" defaultRowHeight="15" x14ac:dyDescent="0.25"/>
  <cols>
    <col min="1" max="1" width="14" hidden="1" customWidth="1"/>
    <col min="2" max="2" width="10" customWidth="1"/>
    <col min="3" max="3" width="17.7109375" style="39" bestFit="1" customWidth="1"/>
    <col min="4" max="4" width="14" customWidth="1"/>
    <col min="5" max="5" width="24" customWidth="1"/>
    <col min="6" max="7" width="10" customWidth="1"/>
    <col min="8" max="8" width="13.5703125" bestFit="1" customWidth="1"/>
    <col min="9" max="9" width="29.28515625" bestFit="1" customWidth="1"/>
    <col min="10" max="10" width="12" customWidth="1"/>
    <col min="11" max="11" width="14" customWidth="1"/>
    <col min="12" max="12" width="12" customWidth="1"/>
    <col min="13" max="13" width="99.85546875" hidden="1" customWidth="1"/>
  </cols>
  <sheetData>
    <row r="1" spans="1:14" ht="31.5" customHeight="1" x14ac:dyDescent="0.25">
      <c r="A1" s="47" t="s">
        <v>28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8" customHeight="1" x14ac:dyDescent="0.25">
      <c r="A2" s="48" t="s">
        <v>250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4" spans="1:14" ht="21.75" customHeight="1" x14ac:dyDescent="0.25">
      <c r="A4" s="1" t="s">
        <v>29</v>
      </c>
      <c r="B4" s="1" t="s">
        <v>30</v>
      </c>
      <c r="C4" s="36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</row>
    <row r="5" spans="1:14" ht="15.75" customHeight="1" x14ac:dyDescent="0.25">
      <c r="A5" s="2" t="s">
        <v>42</v>
      </c>
      <c r="B5" s="3" t="s">
        <v>43</v>
      </c>
      <c r="C5" s="37">
        <v>45750</v>
      </c>
      <c r="D5" s="2" t="s">
        <v>44</v>
      </c>
      <c r="E5" s="2" t="s">
        <v>45</v>
      </c>
      <c r="F5" s="3">
        <v>3</v>
      </c>
      <c r="G5" s="41">
        <v>3</v>
      </c>
      <c r="H5" s="42">
        <v>1</v>
      </c>
      <c r="I5" s="2" t="s">
        <v>46</v>
      </c>
      <c r="J5" s="44"/>
      <c r="K5" s="2" t="s">
        <v>47</v>
      </c>
      <c r="L5" s="4" t="s">
        <v>48</v>
      </c>
      <c r="M5" s="2"/>
    </row>
    <row r="6" spans="1:14" ht="15.75" customHeight="1" x14ac:dyDescent="0.25">
      <c r="A6" s="5" t="s">
        <v>42</v>
      </c>
      <c r="B6" s="6" t="s">
        <v>49</v>
      </c>
      <c r="C6" s="37">
        <v>45750</v>
      </c>
      <c r="D6" s="5" t="s">
        <v>50</v>
      </c>
      <c r="E6" s="5" t="s">
        <v>51</v>
      </c>
      <c r="F6" s="6">
        <v>2</v>
      </c>
      <c r="G6" s="40">
        <v>2</v>
      </c>
      <c r="H6" s="43">
        <v>1</v>
      </c>
      <c r="I6" s="5" t="s">
        <v>52</v>
      </c>
      <c r="J6" s="44" t="s">
        <v>53</v>
      </c>
      <c r="K6" s="5" t="s">
        <v>47</v>
      </c>
      <c r="L6" s="4" t="s">
        <v>48</v>
      </c>
      <c r="M6" s="5"/>
    </row>
    <row r="7" spans="1:14" ht="15.75" customHeight="1" x14ac:dyDescent="0.25">
      <c r="A7" s="2" t="s">
        <v>42</v>
      </c>
      <c r="B7" s="3" t="s">
        <v>43</v>
      </c>
      <c r="C7" s="37">
        <v>45751</v>
      </c>
      <c r="D7" s="2" t="s">
        <v>44</v>
      </c>
      <c r="E7" s="2" t="s">
        <v>45</v>
      </c>
      <c r="F7" s="3">
        <v>2</v>
      </c>
      <c r="G7" s="41">
        <v>2</v>
      </c>
      <c r="H7" s="42">
        <v>1</v>
      </c>
      <c r="I7" s="2" t="s">
        <v>46</v>
      </c>
      <c r="J7" s="44"/>
      <c r="K7" s="2" t="s">
        <v>47</v>
      </c>
      <c r="L7" s="4" t="s">
        <v>48</v>
      </c>
      <c r="M7" s="2" t="s">
        <v>54</v>
      </c>
    </row>
    <row r="8" spans="1:14" ht="15.75" customHeight="1" x14ac:dyDescent="0.25">
      <c r="A8" s="5" t="s">
        <v>42</v>
      </c>
      <c r="B8" s="6" t="s">
        <v>43</v>
      </c>
      <c r="C8" s="38">
        <v>45751</v>
      </c>
      <c r="D8" s="5" t="s">
        <v>44</v>
      </c>
      <c r="E8" s="5" t="s">
        <v>45</v>
      </c>
      <c r="F8" s="6">
        <v>1</v>
      </c>
      <c r="G8" s="40">
        <v>1</v>
      </c>
      <c r="H8" s="43">
        <v>1</v>
      </c>
      <c r="I8" s="5" t="s">
        <v>55</v>
      </c>
      <c r="J8" s="44"/>
      <c r="K8" s="5" t="s">
        <v>47</v>
      </c>
      <c r="L8" s="4" t="s">
        <v>48</v>
      </c>
      <c r="M8" s="5" t="s">
        <v>56</v>
      </c>
    </row>
    <row r="9" spans="1:14" ht="15.75" customHeight="1" x14ac:dyDescent="0.25">
      <c r="A9" s="2" t="s">
        <v>42</v>
      </c>
      <c r="B9" s="3" t="s">
        <v>43</v>
      </c>
      <c r="C9" s="37">
        <v>45751</v>
      </c>
      <c r="D9" s="2" t="s">
        <v>44</v>
      </c>
      <c r="E9" s="2" t="s">
        <v>45</v>
      </c>
      <c r="F9" s="3">
        <v>1</v>
      </c>
      <c r="G9" s="41">
        <v>1</v>
      </c>
      <c r="H9" s="42">
        <v>1</v>
      </c>
      <c r="I9" s="2" t="s">
        <v>55</v>
      </c>
      <c r="J9" s="44"/>
      <c r="K9" s="2" t="s">
        <v>47</v>
      </c>
      <c r="L9" s="4" t="s">
        <v>48</v>
      </c>
      <c r="M9" s="2" t="s">
        <v>56</v>
      </c>
    </row>
    <row r="10" spans="1:14" ht="15.75" customHeight="1" x14ac:dyDescent="0.25">
      <c r="A10" s="5" t="s">
        <v>42</v>
      </c>
      <c r="B10" s="6" t="s">
        <v>43</v>
      </c>
      <c r="C10" s="38">
        <v>45754</v>
      </c>
      <c r="D10" s="5" t="s">
        <v>44</v>
      </c>
      <c r="E10" s="5" t="s">
        <v>45</v>
      </c>
      <c r="F10" s="6">
        <v>11</v>
      </c>
      <c r="G10" s="40">
        <v>9</v>
      </c>
      <c r="H10" s="43">
        <v>0.81818181818181801</v>
      </c>
      <c r="I10" s="5" t="s">
        <v>46</v>
      </c>
      <c r="J10" s="44"/>
      <c r="K10" s="5" t="s">
        <v>47</v>
      </c>
      <c r="L10" s="4" t="s">
        <v>48</v>
      </c>
      <c r="M10" s="5" t="s">
        <v>56</v>
      </c>
    </row>
    <row r="11" spans="1:14" ht="15.75" customHeight="1" x14ac:dyDescent="0.25">
      <c r="A11" s="2" t="s">
        <v>42</v>
      </c>
      <c r="B11" s="3" t="s">
        <v>43</v>
      </c>
      <c r="C11" s="38">
        <v>45754</v>
      </c>
      <c r="D11" s="2" t="s">
        <v>44</v>
      </c>
      <c r="E11" s="2" t="s">
        <v>45</v>
      </c>
      <c r="F11" s="3">
        <v>11</v>
      </c>
      <c r="G11" s="41">
        <v>2</v>
      </c>
      <c r="H11" s="42">
        <v>0.18181818181818199</v>
      </c>
      <c r="I11" s="2" t="s">
        <v>55</v>
      </c>
      <c r="J11" s="44"/>
      <c r="K11" s="2" t="s">
        <v>47</v>
      </c>
      <c r="L11" s="4" t="s">
        <v>48</v>
      </c>
      <c r="M11" s="2" t="s">
        <v>56</v>
      </c>
    </row>
    <row r="12" spans="1:14" ht="15.75" customHeight="1" x14ac:dyDescent="0.25">
      <c r="A12" s="5" t="s">
        <v>42</v>
      </c>
      <c r="B12" s="6" t="s">
        <v>43</v>
      </c>
      <c r="C12" s="38">
        <v>45754</v>
      </c>
      <c r="D12" s="5" t="s">
        <v>44</v>
      </c>
      <c r="E12" s="5" t="s">
        <v>45</v>
      </c>
      <c r="F12" s="6">
        <v>11</v>
      </c>
      <c r="G12" s="40">
        <v>2</v>
      </c>
      <c r="H12" s="43">
        <v>0.18181818181818199</v>
      </c>
      <c r="I12" s="5" t="s">
        <v>57</v>
      </c>
      <c r="J12" s="44"/>
      <c r="K12" s="5" t="s">
        <v>47</v>
      </c>
      <c r="L12" s="4" t="s">
        <v>48</v>
      </c>
      <c r="M12" s="5" t="s">
        <v>56</v>
      </c>
    </row>
    <row r="13" spans="1:14" ht="15.75" customHeight="1" x14ac:dyDescent="0.25">
      <c r="A13" s="2" t="s">
        <v>42</v>
      </c>
      <c r="B13" s="3" t="s">
        <v>43</v>
      </c>
      <c r="C13" s="37">
        <v>45754</v>
      </c>
      <c r="D13" s="2" t="s">
        <v>44</v>
      </c>
      <c r="E13" s="2" t="s">
        <v>45</v>
      </c>
      <c r="F13" s="3">
        <v>11</v>
      </c>
      <c r="G13" s="41">
        <v>1</v>
      </c>
      <c r="H13" s="42">
        <v>9.0909090909090898E-2</v>
      </c>
      <c r="I13" s="2" t="s">
        <v>55</v>
      </c>
      <c r="J13" s="44"/>
      <c r="K13" s="2" t="s">
        <v>47</v>
      </c>
      <c r="L13" s="4" t="s">
        <v>48</v>
      </c>
      <c r="M13" s="2" t="s">
        <v>56</v>
      </c>
    </row>
    <row r="14" spans="1:14" ht="15.75" customHeight="1" x14ac:dyDescent="0.25">
      <c r="A14" s="5" t="s">
        <v>42</v>
      </c>
      <c r="B14" s="6" t="s">
        <v>43</v>
      </c>
      <c r="C14" s="38">
        <v>45754</v>
      </c>
      <c r="D14" s="5" t="s">
        <v>58</v>
      </c>
      <c r="E14" s="5" t="s">
        <v>59</v>
      </c>
      <c r="F14" s="6">
        <v>62</v>
      </c>
      <c r="G14" s="40">
        <v>3</v>
      </c>
      <c r="H14" s="43">
        <v>4.8387096774193603E-2</v>
      </c>
      <c r="I14" s="5" t="s">
        <v>55</v>
      </c>
      <c r="J14" s="44"/>
      <c r="K14" s="5" t="s">
        <v>47</v>
      </c>
      <c r="L14" s="4" t="s">
        <v>48</v>
      </c>
      <c r="M14" s="5" t="s">
        <v>56</v>
      </c>
    </row>
    <row r="15" spans="1:14" ht="15.75" customHeight="1" x14ac:dyDescent="0.25">
      <c r="A15" s="2" t="s">
        <v>42</v>
      </c>
      <c r="B15" s="3" t="s">
        <v>43</v>
      </c>
      <c r="C15" s="37">
        <v>45754</v>
      </c>
      <c r="D15" s="2" t="s">
        <v>58</v>
      </c>
      <c r="E15" s="2" t="s">
        <v>59</v>
      </c>
      <c r="F15" s="3">
        <v>62</v>
      </c>
      <c r="G15" s="41">
        <v>36</v>
      </c>
      <c r="H15" s="42">
        <v>0.58064516129032295</v>
      </c>
      <c r="I15" s="2" t="s">
        <v>60</v>
      </c>
      <c r="J15" s="44"/>
      <c r="K15" s="2" t="s">
        <v>47</v>
      </c>
      <c r="L15" s="4" t="s">
        <v>48</v>
      </c>
      <c r="M15" s="2" t="s">
        <v>56</v>
      </c>
    </row>
    <row r="16" spans="1:14" ht="15.75" customHeight="1" x14ac:dyDescent="0.25">
      <c r="A16" s="5" t="s">
        <v>42</v>
      </c>
      <c r="B16" s="6" t="s">
        <v>43</v>
      </c>
      <c r="C16" s="38">
        <v>45755</v>
      </c>
      <c r="D16" s="5" t="s">
        <v>58</v>
      </c>
      <c r="E16" s="5" t="s">
        <v>59</v>
      </c>
      <c r="F16" s="6">
        <v>39</v>
      </c>
      <c r="G16" s="40">
        <v>2</v>
      </c>
      <c r="H16" s="43">
        <v>5.1282051282051301E-2</v>
      </c>
      <c r="I16" s="5" t="s">
        <v>60</v>
      </c>
      <c r="J16" s="44"/>
      <c r="K16" s="5" t="s">
        <v>47</v>
      </c>
      <c r="L16" s="4" t="s">
        <v>48</v>
      </c>
      <c r="M16" s="5" t="s">
        <v>61</v>
      </c>
    </row>
    <row r="17" spans="1:13" ht="15.75" customHeight="1" x14ac:dyDescent="0.25">
      <c r="A17" s="2" t="s">
        <v>42</v>
      </c>
      <c r="B17" s="3" t="s">
        <v>43</v>
      </c>
      <c r="C17" s="37">
        <v>45755</v>
      </c>
      <c r="D17" s="2" t="s">
        <v>58</v>
      </c>
      <c r="E17" s="2" t="s">
        <v>59</v>
      </c>
      <c r="F17" s="3">
        <v>39</v>
      </c>
      <c r="G17" s="41">
        <v>10</v>
      </c>
      <c r="H17" s="42">
        <v>0.256410256410256</v>
      </c>
      <c r="I17" s="2" t="s">
        <v>60</v>
      </c>
      <c r="J17" s="44"/>
      <c r="K17" s="2" t="s">
        <v>47</v>
      </c>
      <c r="L17" s="7" t="s">
        <v>62</v>
      </c>
      <c r="M17" s="2" t="s">
        <v>61</v>
      </c>
    </row>
    <row r="18" spans="1:13" ht="15.75" customHeight="1" x14ac:dyDescent="0.25">
      <c r="A18" s="5" t="s">
        <v>42</v>
      </c>
      <c r="B18" s="6" t="s">
        <v>43</v>
      </c>
      <c r="C18" s="38">
        <v>45755</v>
      </c>
      <c r="D18" s="5" t="s">
        <v>63</v>
      </c>
      <c r="E18" s="5" t="s">
        <v>45</v>
      </c>
      <c r="F18" s="6">
        <v>1</v>
      </c>
      <c r="G18" s="40">
        <v>1</v>
      </c>
      <c r="H18" s="43">
        <v>1</v>
      </c>
      <c r="I18" s="5" t="s">
        <v>55</v>
      </c>
      <c r="J18" s="44"/>
      <c r="K18" s="5" t="s">
        <v>47</v>
      </c>
      <c r="L18" s="4" t="s">
        <v>48</v>
      </c>
      <c r="M18" s="5" t="s">
        <v>56</v>
      </c>
    </row>
    <row r="19" spans="1:13" ht="15.75" customHeight="1" x14ac:dyDescent="0.25">
      <c r="A19" s="2" t="s">
        <v>42</v>
      </c>
      <c r="B19" s="3" t="s">
        <v>43</v>
      </c>
      <c r="C19" s="37">
        <v>45755</v>
      </c>
      <c r="D19" s="2" t="s">
        <v>64</v>
      </c>
      <c r="E19" s="2" t="s">
        <v>59</v>
      </c>
      <c r="F19" s="3">
        <v>2</v>
      </c>
      <c r="G19" s="41">
        <v>1</v>
      </c>
      <c r="H19" s="42">
        <v>0.5</v>
      </c>
      <c r="I19" s="2" t="s">
        <v>55</v>
      </c>
      <c r="J19" s="44"/>
      <c r="K19" s="2" t="s">
        <v>47</v>
      </c>
      <c r="L19" s="4" t="s">
        <v>48</v>
      </c>
      <c r="M19" s="2" t="s">
        <v>65</v>
      </c>
    </row>
    <row r="20" spans="1:13" ht="15.75" customHeight="1" x14ac:dyDescent="0.25">
      <c r="A20" s="5" t="s">
        <v>42</v>
      </c>
      <c r="B20" s="6" t="s">
        <v>43</v>
      </c>
      <c r="C20" s="38">
        <v>45755</v>
      </c>
      <c r="D20" s="5" t="s">
        <v>64</v>
      </c>
      <c r="E20" s="5" t="s">
        <v>59</v>
      </c>
      <c r="F20" s="6">
        <v>2</v>
      </c>
      <c r="G20" s="40">
        <v>2</v>
      </c>
      <c r="H20" s="43">
        <v>1</v>
      </c>
      <c r="I20" s="5" t="s">
        <v>55</v>
      </c>
      <c r="J20" s="44"/>
      <c r="K20" s="5" t="s">
        <v>47</v>
      </c>
      <c r="L20" s="4" t="s">
        <v>48</v>
      </c>
      <c r="M20" s="5" t="s">
        <v>65</v>
      </c>
    </row>
    <row r="21" spans="1:13" ht="15.75" customHeight="1" x14ac:dyDescent="0.25">
      <c r="A21" s="2" t="s">
        <v>42</v>
      </c>
      <c r="B21" s="3" t="s">
        <v>43</v>
      </c>
      <c r="C21" s="37">
        <v>45756</v>
      </c>
      <c r="D21" s="2" t="s">
        <v>58</v>
      </c>
      <c r="E21" s="2" t="s">
        <v>66</v>
      </c>
      <c r="F21" s="3">
        <v>31</v>
      </c>
      <c r="G21" s="41">
        <v>10</v>
      </c>
      <c r="H21" s="42">
        <v>0.32258064516128998</v>
      </c>
      <c r="I21" s="2" t="s">
        <v>60</v>
      </c>
      <c r="J21" s="44"/>
      <c r="K21" s="2" t="s">
        <v>47</v>
      </c>
      <c r="L21" s="7" t="s">
        <v>62</v>
      </c>
      <c r="M21" s="2" t="s">
        <v>56</v>
      </c>
    </row>
    <row r="22" spans="1:13" ht="15.75" customHeight="1" x14ac:dyDescent="0.25">
      <c r="A22" s="5">
        <v>0</v>
      </c>
      <c r="B22" s="6" t="s">
        <v>43</v>
      </c>
      <c r="C22" s="38">
        <v>45756</v>
      </c>
      <c r="D22" s="5" t="s">
        <v>67</v>
      </c>
      <c r="E22" s="5" t="s">
        <v>45</v>
      </c>
      <c r="F22" s="6">
        <v>1</v>
      </c>
      <c r="G22" s="40">
        <v>1</v>
      </c>
      <c r="H22" s="43">
        <v>1</v>
      </c>
      <c r="I22" s="5" t="s">
        <v>57</v>
      </c>
      <c r="J22" s="44"/>
      <c r="K22" s="5" t="s">
        <v>47</v>
      </c>
      <c r="L22" s="4" t="s">
        <v>48</v>
      </c>
      <c r="M22" s="5" t="s">
        <v>56</v>
      </c>
    </row>
    <row r="23" spans="1:13" ht="15.75" customHeight="1" x14ac:dyDescent="0.25">
      <c r="A23" s="2" t="s">
        <v>42</v>
      </c>
      <c r="B23" s="3" t="s">
        <v>43</v>
      </c>
      <c r="C23" s="37">
        <v>45756</v>
      </c>
      <c r="D23" s="2" t="s">
        <v>67</v>
      </c>
      <c r="E23" s="2" t="s">
        <v>45</v>
      </c>
      <c r="F23" s="3">
        <v>1</v>
      </c>
      <c r="G23" s="41">
        <v>1</v>
      </c>
      <c r="H23" s="42">
        <v>1</v>
      </c>
      <c r="I23" s="2" t="s">
        <v>57</v>
      </c>
      <c r="J23" s="44"/>
      <c r="K23" s="2" t="s">
        <v>47</v>
      </c>
      <c r="L23" s="4" t="s">
        <v>48</v>
      </c>
      <c r="M23" s="2" t="s">
        <v>56</v>
      </c>
    </row>
    <row r="24" spans="1:13" ht="15.75" customHeight="1" x14ac:dyDescent="0.25">
      <c r="A24" s="5" t="s">
        <v>42</v>
      </c>
      <c r="B24" s="6" t="s">
        <v>43</v>
      </c>
      <c r="C24" s="38">
        <v>45756</v>
      </c>
      <c r="D24" s="5" t="s">
        <v>68</v>
      </c>
      <c r="E24" s="5" t="s">
        <v>69</v>
      </c>
      <c r="F24" s="6">
        <v>30</v>
      </c>
      <c r="G24" s="40">
        <v>13</v>
      </c>
      <c r="H24" s="43">
        <v>0.43333333333333302</v>
      </c>
      <c r="I24" s="5" t="s">
        <v>60</v>
      </c>
      <c r="J24" s="44"/>
      <c r="K24" s="5" t="s">
        <v>47</v>
      </c>
      <c r="L24" s="7" t="s">
        <v>62</v>
      </c>
      <c r="M24" s="5" t="s">
        <v>56</v>
      </c>
    </row>
    <row r="25" spans="1:13" ht="15.75" customHeight="1" x14ac:dyDescent="0.25">
      <c r="A25" s="2" t="s">
        <v>42</v>
      </c>
      <c r="B25" s="3" t="s">
        <v>43</v>
      </c>
      <c r="C25" s="37">
        <v>45756</v>
      </c>
      <c r="D25" s="2" t="s">
        <v>64</v>
      </c>
      <c r="E25" s="2" t="s">
        <v>59</v>
      </c>
      <c r="F25" s="3">
        <v>1</v>
      </c>
      <c r="G25" s="41">
        <v>4</v>
      </c>
      <c r="H25" s="42">
        <v>4</v>
      </c>
      <c r="I25" s="2" t="s">
        <v>57</v>
      </c>
      <c r="J25" s="44"/>
      <c r="K25" s="2" t="s">
        <v>47</v>
      </c>
      <c r="L25" s="4" t="s">
        <v>48</v>
      </c>
      <c r="M25" s="2" t="s">
        <v>56</v>
      </c>
    </row>
    <row r="26" spans="1:13" ht="15.75" customHeight="1" x14ac:dyDescent="0.25">
      <c r="A26" s="5" t="s">
        <v>42</v>
      </c>
      <c r="B26" s="6" t="s">
        <v>43</v>
      </c>
      <c r="C26" s="38">
        <v>45756</v>
      </c>
      <c r="D26" s="5" t="s">
        <v>63</v>
      </c>
      <c r="E26" s="5" t="s">
        <v>45</v>
      </c>
      <c r="F26" s="6">
        <v>1</v>
      </c>
      <c r="G26" s="40">
        <v>1</v>
      </c>
      <c r="H26" s="43">
        <v>1</v>
      </c>
      <c r="I26" s="5" t="s">
        <v>70</v>
      </c>
      <c r="J26" s="44" t="s">
        <v>53</v>
      </c>
      <c r="K26" s="5" t="s">
        <v>47</v>
      </c>
      <c r="L26" s="4" t="s">
        <v>48</v>
      </c>
      <c r="M26" s="5" t="s">
        <v>56</v>
      </c>
    </row>
    <row r="27" spans="1:13" ht="15.75" customHeight="1" x14ac:dyDescent="0.25">
      <c r="A27" s="2" t="s">
        <v>42</v>
      </c>
      <c r="B27" s="3" t="s">
        <v>43</v>
      </c>
      <c r="C27" s="37">
        <v>45757</v>
      </c>
      <c r="D27" s="2" t="s">
        <v>67</v>
      </c>
      <c r="E27" s="2" t="s">
        <v>45</v>
      </c>
      <c r="F27" s="3">
        <v>2</v>
      </c>
      <c r="G27" s="41">
        <v>1</v>
      </c>
      <c r="H27" s="42">
        <v>0.5</v>
      </c>
      <c r="I27" s="2" t="s">
        <v>71</v>
      </c>
      <c r="J27" s="44"/>
      <c r="K27" s="2" t="s">
        <v>47</v>
      </c>
      <c r="L27" s="7" t="s">
        <v>62</v>
      </c>
      <c r="M27" s="2" t="s">
        <v>56</v>
      </c>
    </row>
    <row r="28" spans="1:13" ht="15.75" customHeight="1" x14ac:dyDescent="0.25">
      <c r="A28" s="5" t="s">
        <v>42</v>
      </c>
      <c r="B28" s="6" t="s">
        <v>43</v>
      </c>
      <c r="C28" s="38">
        <v>45757</v>
      </c>
      <c r="D28" s="5" t="s">
        <v>63</v>
      </c>
      <c r="E28" s="5" t="s">
        <v>45</v>
      </c>
      <c r="F28" s="6">
        <v>4</v>
      </c>
      <c r="G28" s="40">
        <v>4</v>
      </c>
      <c r="H28" s="43">
        <v>1</v>
      </c>
      <c r="I28" s="5" t="s">
        <v>55</v>
      </c>
      <c r="J28" s="44" t="s">
        <v>53</v>
      </c>
      <c r="K28" s="5" t="s">
        <v>47</v>
      </c>
      <c r="L28" s="4" t="s">
        <v>48</v>
      </c>
      <c r="M28" s="5" t="s">
        <v>56</v>
      </c>
    </row>
    <row r="29" spans="1:13" ht="15.75" customHeight="1" x14ac:dyDescent="0.25">
      <c r="A29" s="2" t="s">
        <v>42</v>
      </c>
      <c r="B29" s="3" t="s">
        <v>43</v>
      </c>
      <c r="C29" s="37">
        <v>45757</v>
      </c>
      <c r="D29" s="2" t="s">
        <v>67</v>
      </c>
      <c r="E29" s="2" t="s">
        <v>45</v>
      </c>
      <c r="F29" s="3">
        <v>5</v>
      </c>
      <c r="G29" s="41">
        <v>3</v>
      </c>
      <c r="H29" s="42">
        <v>0.6</v>
      </c>
      <c r="I29" s="2" t="s">
        <v>55</v>
      </c>
      <c r="J29" s="44"/>
      <c r="K29" s="2" t="s">
        <v>47</v>
      </c>
      <c r="L29" s="4" t="s">
        <v>48</v>
      </c>
      <c r="M29" s="2" t="s">
        <v>56</v>
      </c>
    </row>
    <row r="30" spans="1:13" ht="15.75" customHeight="1" x14ac:dyDescent="0.25">
      <c r="A30" s="5" t="s">
        <v>42</v>
      </c>
      <c r="B30" s="6" t="s">
        <v>49</v>
      </c>
      <c r="C30" s="38">
        <v>45757</v>
      </c>
      <c r="D30" s="5" t="s">
        <v>72</v>
      </c>
      <c r="E30" s="5" t="s">
        <v>51</v>
      </c>
      <c r="F30" s="6">
        <v>3</v>
      </c>
      <c r="G30" s="40">
        <v>4</v>
      </c>
      <c r="H30" s="43">
        <v>1.3333333333333299</v>
      </c>
      <c r="I30" s="5" t="s">
        <v>55</v>
      </c>
      <c r="J30" s="44" t="s">
        <v>53</v>
      </c>
      <c r="K30" s="5" t="s">
        <v>47</v>
      </c>
      <c r="L30" s="4" t="s">
        <v>48</v>
      </c>
      <c r="M30" s="5" t="s">
        <v>56</v>
      </c>
    </row>
    <row r="31" spans="1:13" ht="15.75" customHeight="1" x14ac:dyDescent="0.25">
      <c r="A31" s="2" t="s">
        <v>42</v>
      </c>
      <c r="B31" s="3" t="s">
        <v>43</v>
      </c>
      <c r="C31" s="37">
        <v>45758</v>
      </c>
      <c r="D31" s="2" t="s">
        <v>63</v>
      </c>
      <c r="E31" s="2" t="s">
        <v>45</v>
      </c>
      <c r="F31" s="3">
        <v>2</v>
      </c>
      <c r="G31" s="41">
        <v>2</v>
      </c>
      <c r="H31" s="42">
        <v>1</v>
      </c>
      <c r="I31" s="2" t="s">
        <v>46</v>
      </c>
      <c r="J31" s="44"/>
      <c r="K31" s="2" t="s">
        <v>47</v>
      </c>
      <c r="L31" s="4" t="s">
        <v>48</v>
      </c>
      <c r="M31" s="2" t="s">
        <v>56</v>
      </c>
    </row>
    <row r="32" spans="1:13" ht="15.75" customHeight="1" x14ac:dyDescent="0.25">
      <c r="A32" s="5" t="s">
        <v>42</v>
      </c>
      <c r="B32" s="6" t="s">
        <v>49</v>
      </c>
      <c r="C32" s="38">
        <v>45758</v>
      </c>
      <c r="D32" s="5" t="s">
        <v>73</v>
      </c>
      <c r="E32" s="5" t="s">
        <v>45</v>
      </c>
      <c r="F32" s="6">
        <v>11</v>
      </c>
      <c r="G32" s="40">
        <v>8</v>
      </c>
      <c r="H32" s="43">
        <v>0.72727272727272696</v>
      </c>
      <c r="I32" s="5" t="s">
        <v>57</v>
      </c>
      <c r="J32" s="44"/>
      <c r="K32" s="5" t="s">
        <v>47</v>
      </c>
      <c r="L32" s="4" t="s">
        <v>48</v>
      </c>
      <c r="M32" s="5" t="s">
        <v>56</v>
      </c>
    </row>
    <row r="33" spans="1:13" ht="15.75" customHeight="1" x14ac:dyDescent="0.25">
      <c r="A33" s="2" t="s">
        <v>42</v>
      </c>
      <c r="B33" s="3" t="s">
        <v>43</v>
      </c>
      <c r="C33" s="37">
        <v>45758</v>
      </c>
      <c r="D33" s="2" t="s">
        <v>68</v>
      </c>
      <c r="E33" s="2" t="s">
        <v>69</v>
      </c>
      <c r="F33" s="3">
        <v>120</v>
      </c>
      <c r="G33" s="41">
        <v>31</v>
      </c>
      <c r="H33" s="42">
        <v>0.25833333333333303</v>
      </c>
      <c r="I33" s="2" t="s">
        <v>60</v>
      </c>
      <c r="J33" s="44"/>
      <c r="K33" s="2" t="s">
        <v>47</v>
      </c>
      <c r="L33" s="7" t="s">
        <v>62</v>
      </c>
      <c r="M33" s="2" t="s">
        <v>56</v>
      </c>
    </row>
    <row r="34" spans="1:13" ht="15.75" customHeight="1" x14ac:dyDescent="0.25">
      <c r="A34" s="5" t="s">
        <v>42</v>
      </c>
      <c r="B34" s="6" t="s">
        <v>49</v>
      </c>
      <c r="C34" s="38">
        <v>45748</v>
      </c>
      <c r="D34" s="5" t="s">
        <v>50</v>
      </c>
      <c r="E34" s="5" t="s">
        <v>51</v>
      </c>
      <c r="F34" s="6">
        <v>2</v>
      </c>
      <c r="G34" s="40">
        <v>3</v>
      </c>
      <c r="H34" s="43">
        <v>1.5</v>
      </c>
      <c r="I34" s="5" t="s">
        <v>55</v>
      </c>
      <c r="J34" s="44" t="s">
        <v>53</v>
      </c>
      <c r="K34" s="5" t="s">
        <v>47</v>
      </c>
      <c r="L34" s="4" t="s">
        <v>48</v>
      </c>
      <c r="M34" s="5" t="s">
        <v>56</v>
      </c>
    </row>
    <row r="35" spans="1:13" ht="15.75" customHeight="1" x14ac:dyDescent="0.25">
      <c r="A35" s="2" t="s">
        <v>42</v>
      </c>
      <c r="B35" s="3" t="s">
        <v>49</v>
      </c>
      <c r="C35" s="37">
        <v>45758</v>
      </c>
      <c r="D35" s="2" t="s">
        <v>73</v>
      </c>
      <c r="E35" s="2" t="s">
        <v>45</v>
      </c>
      <c r="F35" s="3">
        <v>1</v>
      </c>
      <c r="G35" s="41">
        <v>1</v>
      </c>
      <c r="H35" s="42">
        <v>1</v>
      </c>
      <c r="I35" s="2" t="s">
        <v>71</v>
      </c>
      <c r="J35" s="44" t="s">
        <v>53</v>
      </c>
      <c r="K35" s="2" t="s">
        <v>47</v>
      </c>
      <c r="L35" s="4" t="s">
        <v>48</v>
      </c>
      <c r="M35" s="2" t="s">
        <v>65</v>
      </c>
    </row>
    <row r="36" spans="1:13" ht="15.75" customHeight="1" x14ac:dyDescent="0.25">
      <c r="A36" s="5" t="s">
        <v>42</v>
      </c>
      <c r="B36" s="6" t="s">
        <v>49</v>
      </c>
      <c r="C36" s="38">
        <v>45758</v>
      </c>
      <c r="D36" s="5" t="s">
        <v>73</v>
      </c>
      <c r="E36" s="5" t="s">
        <v>45</v>
      </c>
      <c r="F36" s="6">
        <v>1</v>
      </c>
      <c r="G36" s="40">
        <v>2</v>
      </c>
      <c r="H36" s="43">
        <v>2</v>
      </c>
      <c r="I36" s="5" t="s">
        <v>71</v>
      </c>
      <c r="J36" s="44"/>
      <c r="K36" s="5" t="s">
        <v>47</v>
      </c>
      <c r="L36" s="4" t="s">
        <v>48</v>
      </c>
      <c r="M36" s="5" t="s">
        <v>65</v>
      </c>
    </row>
    <row r="37" spans="1:13" ht="15.75" customHeight="1" x14ac:dyDescent="0.25">
      <c r="A37" s="2" t="s">
        <v>74</v>
      </c>
      <c r="B37" s="3" t="s">
        <v>43</v>
      </c>
      <c r="C37" s="37">
        <v>45761</v>
      </c>
      <c r="D37" s="2" t="s">
        <v>75</v>
      </c>
      <c r="E37" s="2" t="s">
        <v>76</v>
      </c>
      <c r="F37" s="3">
        <v>1085</v>
      </c>
      <c r="G37" s="41">
        <v>85</v>
      </c>
      <c r="H37" s="42">
        <v>7.83410138248848E-2</v>
      </c>
      <c r="I37" s="2" t="s">
        <v>60</v>
      </c>
      <c r="J37" s="44"/>
      <c r="K37" s="2" t="s">
        <v>47</v>
      </c>
      <c r="L37" s="7" t="s">
        <v>62</v>
      </c>
      <c r="M37" s="2"/>
    </row>
    <row r="38" spans="1:13" ht="15.75" customHeight="1" x14ac:dyDescent="0.25">
      <c r="A38" s="5" t="s">
        <v>42</v>
      </c>
      <c r="B38" s="6" t="s">
        <v>43</v>
      </c>
      <c r="C38" s="38">
        <v>45761</v>
      </c>
      <c r="D38" s="5" t="s">
        <v>67</v>
      </c>
      <c r="E38" s="5" t="s">
        <v>45</v>
      </c>
      <c r="F38" s="6">
        <v>3</v>
      </c>
      <c r="G38" s="40">
        <v>3</v>
      </c>
      <c r="H38" s="43">
        <v>1</v>
      </c>
      <c r="I38" s="5" t="s">
        <v>57</v>
      </c>
      <c r="J38" s="44"/>
      <c r="K38" s="5" t="s">
        <v>47</v>
      </c>
      <c r="L38" s="4" t="s">
        <v>48</v>
      </c>
      <c r="M38" s="5"/>
    </row>
    <row r="39" spans="1:13" ht="15.75" customHeight="1" x14ac:dyDescent="0.25">
      <c r="A39" s="2" t="s">
        <v>42</v>
      </c>
      <c r="B39" s="3" t="s">
        <v>43</v>
      </c>
      <c r="C39" s="37">
        <v>45761</v>
      </c>
      <c r="D39" s="2" t="s">
        <v>68</v>
      </c>
      <c r="E39" s="2" t="s">
        <v>69</v>
      </c>
      <c r="F39" s="3">
        <v>20</v>
      </c>
      <c r="G39" s="41">
        <v>16</v>
      </c>
      <c r="H39" s="42">
        <v>0.8</v>
      </c>
      <c r="I39" s="2" t="s">
        <v>60</v>
      </c>
      <c r="J39" s="44"/>
      <c r="K39" s="2" t="s">
        <v>47</v>
      </c>
      <c r="L39" s="7" t="s">
        <v>62</v>
      </c>
      <c r="M39" s="2" t="s">
        <v>56</v>
      </c>
    </row>
    <row r="40" spans="1:13" ht="15.75" customHeight="1" x14ac:dyDescent="0.25">
      <c r="A40" s="5" t="s">
        <v>42</v>
      </c>
      <c r="B40" s="6" t="s">
        <v>43</v>
      </c>
      <c r="C40" s="38">
        <v>45792</v>
      </c>
      <c r="D40" s="5" t="s">
        <v>77</v>
      </c>
      <c r="E40" s="5" t="s">
        <v>76</v>
      </c>
      <c r="F40" s="6">
        <v>1160</v>
      </c>
      <c r="G40" s="40">
        <v>122</v>
      </c>
      <c r="H40" s="43">
        <v>0.10517241379310401</v>
      </c>
      <c r="I40" s="5" t="s">
        <v>60</v>
      </c>
      <c r="J40" s="44"/>
      <c r="K40" s="5" t="s">
        <v>47</v>
      </c>
      <c r="L40" s="7" t="s">
        <v>62</v>
      </c>
      <c r="M40" s="5" t="s">
        <v>78</v>
      </c>
    </row>
    <row r="41" spans="1:13" ht="15.75" customHeight="1" x14ac:dyDescent="0.25">
      <c r="A41" s="2" t="s">
        <v>42</v>
      </c>
      <c r="B41" s="3" t="s">
        <v>49</v>
      </c>
      <c r="C41" s="37">
        <v>45792</v>
      </c>
      <c r="D41" s="2" t="s">
        <v>73</v>
      </c>
      <c r="E41" s="2" t="s">
        <v>45</v>
      </c>
      <c r="F41" s="3">
        <v>8</v>
      </c>
      <c r="G41" s="41">
        <v>5</v>
      </c>
      <c r="H41" s="42">
        <v>0.625</v>
      </c>
      <c r="I41" s="2" t="s">
        <v>57</v>
      </c>
      <c r="J41" s="44"/>
      <c r="K41" s="2" t="s">
        <v>47</v>
      </c>
      <c r="L41" s="4" t="s">
        <v>48</v>
      </c>
      <c r="M41" s="2" t="s">
        <v>79</v>
      </c>
    </row>
    <row r="42" spans="1:13" ht="15.75" customHeight="1" x14ac:dyDescent="0.25">
      <c r="A42" s="5" t="s">
        <v>42</v>
      </c>
      <c r="B42" s="6" t="s">
        <v>49</v>
      </c>
      <c r="C42" s="38">
        <v>45792</v>
      </c>
      <c r="D42" s="5" t="s">
        <v>80</v>
      </c>
      <c r="E42" s="5" t="s">
        <v>45</v>
      </c>
      <c r="F42" s="6">
        <v>3</v>
      </c>
      <c r="G42" s="40">
        <v>2</v>
      </c>
      <c r="H42" s="43">
        <v>0.66666666666666696</v>
      </c>
      <c r="I42" s="5" t="s">
        <v>57</v>
      </c>
      <c r="J42" s="44"/>
      <c r="K42" s="5" t="s">
        <v>47</v>
      </c>
      <c r="L42" s="4" t="s">
        <v>48</v>
      </c>
      <c r="M42" s="5" t="s">
        <v>81</v>
      </c>
    </row>
    <row r="43" spans="1:13" ht="15.75" customHeight="1" x14ac:dyDescent="0.25">
      <c r="A43" s="2" t="s">
        <v>42</v>
      </c>
      <c r="B43" s="3" t="s">
        <v>49</v>
      </c>
      <c r="C43" s="37">
        <v>45792</v>
      </c>
      <c r="D43" s="2" t="s">
        <v>50</v>
      </c>
      <c r="E43" s="2" t="s">
        <v>51</v>
      </c>
      <c r="F43" s="3">
        <v>3</v>
      </c>
      <c r="G43" s="41">
        <v>1</v>
      </c>
      <c r="H43" s="42">
        <v>0.33333333333333298</v>
      </c>
      <c r="I43" s="2" t="s">
        <v>60</v>
      </c>
      <c r="J43" s="44"/>
      <c r="K43" s="2" t="s">
        <v>47</v>
      </c>
      <c r="L43" s="4" t="s">
        <v>48</v>
      </c>
      <c r="M43" s="2" t="s">
        <v>81</v>
      </c>
    </row>
    <row r="44" spans="1:13" ht="15.75" customHeight="1" x14ac:dyDescent="0.25">
      <c r="A44" s="5" t="s">
        <v>74</v>
      </c>
      <c r="B44" s="6" t="s">
        <v>49</v>
      </c>
      <c r="C44" s="38">
        <v>45763</v>
      </c>
      <c r="D44" s="5" t="s">
        <v>82</v>
      </c>
      <c r="E44" s="5" t="s">
        <v>45</v>
      </c>
      <c r="F44" s="6">
        <v>1</v>
      </c>
      <c r="G44" s="40">
        <v>1</v>
      </c>
      <c r="H44" s="43">
        <v>1</v>
      </c>
      <c r="I44" s="5" t="s">
        <v>55</v>
      </c>
      <c r="J44" s="44"/>
      <c r="K44" s="5" t="s">
        <v>47</v>
      </c>
      <c r="L44" s="4" t="s">
        <v>48</v>
      </c>
      <c r="M44" s="5"/>
    </row>
    <row r="45" spans="1:13" ht="15.75" customHeight="1" x14ac:dyDescent="0.25">
      <c r="A45" s="2" t="s">
        <v>42</v>
      </c>
      <c r="B45" s="3" t="s">
        <v>43</v>
      </c>
      <c r="C45" s="37">
        <v>45763</v>
      </c>
      <c r="D45" s="2" t="s">
        <v>77</v>
      </c>
      <c r="E45" s="2" t="s">
        <v>76</v>
      </c>
      <c r="F45" s="3">
        <v>536</v>
      </c>
      <c r="G45" s="41">
        <v>65</v>
      </c>
      <c r="H45" s="42">
        <v>0.121268656716418</v>
      </c>
      <c r="I45" s="2" t="s">
        <v>60</v>
      </c>
      <c r="J45" s="44"/>
      <c r="K45" s="2" t="s">
        <v>47</v>
      </c>
      <c r="L45" s="7" t="s">
        <v>62</v>
      </c>
      <c r="M45" s="2"/>
    </row>
    <row r="46" spans="1:13" ht="15.75" customHeight="1" x14ac:dyDescent="0.25">
      <c r="A46" s="5" t="s">
        <v>42</v>
      </c>
      <c r="B46" s="6" t="s">
        <v>43</v>
      </c>
      <c r="C46" s="38">
        <v>45763</v>
      </c>
      <c r="D46" s="5">
        <v>302275</v>
      </c>
      <c r="E46" s="5" t="s">
        <v>83</v>
      </c>
      <c r="F46" s="6">
        <v>50</v>
      </c>
      <c r="G46" s="40">
        <v>48</v>
      </c>
      <c r="H46" s="43">
        <v>0.96</v>
      </c>
      <c r="I46" s="5" t="s">
        <v>70</v>
      </c>
      <c r="J46" s="44" t="s">
        <v>53</v>
      </c>
      <c r="K46" s="5" t="s">
        <v>47</v>
      </c>
      <c r="L46" s="7" t="s">
        <v>62</v>
      </c>
      <c r="M46" s="5" t="s">
        <v>84</v>
      </c>
    </row>
    <row r="47" spans="1:13" ht="15.75" customHeight="1" x14ac:dyDescent="0.25">
      <c r="A47" s="2" t="s">
        <v>42</v>
      </c>
      <c r="B47" s="3" t="s">
        <v>43</v>
      </c>
      <c r="C47" s="37">
        <v>45763</v>
      </c>
      <c r="D47" s="2" t="s">
        <v>85</v>
      </c>
      <c r="E47" s="2" t="s">
        <v>86</v>
      </c>
      <c r="F47" s="3">
        <v>45</v>
      </c>
      <c r="G47" s="41">
        <v>10</v>
      </c>
      <c r="H47" s="42">
        <v>0.22222222222222199</v>
      </c>
      <c r="I47" s="2" t="s">
        <v>60</v>
      </c>
      <c r="J47" s="44"/>
      <c r="K47" s="2" t="s">
        <v>47</v>
      </c>
      <c r="L47" s="7" t="s">
        <v>62</v>
      </c>
      <c r="M47" s="45" t="s">
        <v>252</v>
      </c>
    </row>
    <row r="48" spans="1:13" ht="15.75" customHeight="1" x14ac:dyDescent="0.25">
      <c r="A48" s="5" t="s">
        <v>42</v>
      </c>
      <c r="B48" s="6" t="s">
        <v>43</v>
      </c>
      <c r="C48" s="38">
        <v>45763</v>
      </c>
      <c r="D48" s="5" t="s">
        <v>73</v>
      </c>
      <c r="E48" s="5" t="s">
        <v>45</v>
      </c>
      <c r="F48" s="6">
        <v>2</v>
      </c>
      <c r="G48" s="40">
        <v>3</v>
      </c>
      <c r="H48" s="43">
        <v>1.5</v>
      </c>
      <c r="I48" s="5" t="s">
        <v>71</v>
      </c>
      <c r="J48" s="44"/>
      <c r="K48" s="5" t="s">
        <v>47</v>
      </c>
      <c r="L48" s="4" t="s">
        <v>48</v>
      </c>
      <c r="M48" s="5" t="s">
        <v>87</v>
      </c>
    </row>
    <row r="49" spans="1:13" ht="15.75" customHeight="1" x14ac:dyDescent="0.25">
      <c r="A49" s="2" t="s">
        <v>42</v>
      </c>
      <c r="B49" s="3" t="s">
        <v>43</v>
      </c>
      <c r="C49" s="37">
        <v>45763</v>
      </c>
      <c r="D49" s="2" t="s">
        <v>73</v>
      </c>
      <c r="E49" s="2" t="s">
        <v>45</v>
      </c>
      <c r="F49" s="3">
        <v>1</v>
      </c>
      <c r="G49" s="41">
        <v>1</v>
      </c>
      <c r="H49" s="42">
        <v>1</v>
      </c>
      <c r="I49" s="2" t="s">
        <v>55</v>
      </c>
      <c r="J49" s="44"/>
      <c r="K49" s="2" t="s">
        <v>47</v>
      </c>
      <c r="L49" s="4" t="s">
        <v>48</v>
      </c>
      <c r="M49" s="2" t="s">
        <v>87</v>
      </c>
    </row>
    <row r="50" spans="1:13" ht="15.75" customHeight="1" x14ac:dyDescent="0.25">
      <c r="A50" s="5" t="s">
        <v>42</v>
      </c>
      <c r="B50" s="6" t="s">
        <v>43</v>
      </c>
      <c r="C50" s="38">
        <v>45763</v>
      </c>
      <c r="D50" s="5" t="s">
        <v>63</v>
      </c>
      <c r="E50" s="5" t="s">
        <v>45</v>
      </c>
      <c r="F50" s="6">
        <v>1</v>
      </c>
      <c r="G50" s="40">
        <v>3</v>
      </c>
      <c r="H50" s="43">
        <v>3</v>
      </c>
      <c r="I50" s="5" t="s">
        <v>46</v>
      </c>
      <c r="J50" s="44"/>
      <c r="K50" s="5" t="s">
        <v>47</v>
      </c>
      <c r="L50" s="4" t="s">
        <v>48</v>
      </c>
      <c r="M50" s="5" t="s">
        <v>87</v>
      </c>
    </row>
    <row r="51" spans="1:13" ht="15.75" customHeight="1" x14ac:dyDescent="0.25">
      <c r="A51" s="2" t="s">
        <v>42</v>
      </c>
      <c r="B51" s="3" t="s">
        <v>43</v>
      </c>
      <c r="C51" s="37">
        <v>45764</v>
      </c>
      <c r="D51" s="2" t="s">
        <v>88</v>
      </c>
      <c r="E51" s="2" t="s">
        <v>89</v>
      </c>
      <c r="F51" s="3">
        <v>27</v>
      </c>
      <c r="G51" s="41">
        <v>21</v>
      </c>
      <c r="H51" s="42">
        <v>0.77777777777777801</v>
      </c>
      <c r="I51" s="2" t="s">
        <v>57</v>
      </c>
      <c r="J51" s="44"/>
      <c r="K51" s="2" t="s">
        <v>47</v>
      </c>
      <c r="L51" s="4" t="s">
        <v>48</v>
      </c>
      <c r="M51" s="2" t="s">
        <v>87</v>
      </c>
    </row>
    <row r="52" spans="1:13" ht="15.75" customHeight="1" x14ac:dyDescent="0.25">
      <c r="A52" s="5" t="s">
        <v>74</v>
      </c>
      <c r="B52" s="6" t="s">
        <v>43</v>
      </c>
      <c r="C52" s="38">
        <v>45764</v>
      </c>
      <c r="D52" s="5" t="s">
        <v>88</v>
      </c>
      <c r="E52" s="5" t="s">
        <v>89</v>
      </c>
      <c r="F52" s="6">
        <v>15</v>
      </c>
      <c r="G52" s="40">
        <v>4</v>
      </c>
      <c r="H52" s="43">
        <v>0.266666666666667</v>
      </c>
      <c r="I52" s="5" t="s">
        <v>52</v>
      </c>
      <c r="J52" s="44" t="s">
        <v>53</v>
      </c>
      <c r="K52" s="5" t="s">
        <v>47</v>
      </c>
      <c r="L52" s="4" t="s">
        <v>48</v>
      </c>
      <c r="M52" s="5" t="s">
        <v>90</v>
      </c>
    </row>
    <row r="53" spans="1:13" ht="15.75" customHeight="1" x14ac:dyDescent="0.25">
      <c r="A53" s="2" t="s">
        <v>74</v>
      </c>
      <c r="B53" s="3" t="s">
        <v>91</v>
      </c>
      <c r="C53" s="37">
        <v>45764</v>
      </c>
      <c r="D53" s="2" t="s">
        <v>92</v>
      </c>
      <c r="E53" s="2" t="s">
        <v>45</v>
      </c>
      <c r="F53" s="3">
        <v>5</v>
      </c>
      <c r="G53" s="41">
        <v>5</v>
      </c>
      <c r="H53" s="42">
        <v>1</v>
      </c>
      <c r="I53" s="2" t="s">
        <v>52</v>
      </c>
      <c r="J53" s="44" t="s">
        <v>53</v>
      </c>
      <c r="K53" s="2" t="s">
        <v>93</v>
      </c>
      <c r="L53" s="4" t="s">
        <v>48</v>
      </c>
      <c r="M53" s="45" t="s">
        <v>251</v>
      </c>
    </row>
    <row r="54" spans="1:13" ht="15.75" customHeight="1" x14ac:dyDescent="0.25">
      <c r="A54" s="5" t="s">
        <v>74</v>
      </c>
      <c r="B54" s="6" t="s">
        <v>43</v>
      </c>
      <c r="C54" s="38">
        <v>45764</v>
      </c>
      <c r="D54" s="5" t="s">
        <v>95</v>
      </c>
      <c r="E54" s="5" t="s">
        <v>96</v>
      </c>
      <c r="F54" s="6">
        <v>9</v>
      </c>
      <c r="G54" s="40">
        <v>9</v>
      </c>
      <c r="H54" s="43">
        <v>1</v>
      </c>
      <c r="I54" s="5" t="s">
        <v>60</v>
      </c>
      <c r="J54" s="44"/>
      <c r="K54" s="5" t="s">
        <v>15</v>
      </c>
      <c r="L54" s="7" t="s">
        <v>62</v>
      </c>
      <c r="M54" s="5" t="s">
        <v>97</v>
      </c>
    </row>
    <row r="55" spans="1:13" ht="15.75" customHeight="1" x14ac:dyDescent="0.25">
      <c r="A55" s="2" t="s">
        <v>74</v>
      </c>
      <c r="B55" s="3" t="s">
        <v>43</v>
      </c>
      <c r="C55" s="37">
        <v>45769</v>
      </c>
      <c r="D55" s="2" t="s">
        <v>98</v>
      </c>
      <c r="E55" s="2" t="s">
        <v>99</v>
      </c>
      <c r="F55" s="3">
        <v>5</v>
      </c>
      <c r="G55" s="41">
        <v>5</v>
      </c>
      <c r="H55" s="42">
        <v>1</v>
      </c>
      <c r="I55" s="2" t="s">
        <v>60</v>
      </c>
      <c r="J55" s="44"/>
      <c r="K55" s="2" t="s">
        <v>47</v>
      </c>
      <c r="L55" s="4" t="s">
        <v>48</v>
      </c>
      <c r="M55" s="2" t="s">
        <v>90</v>
      </c>
    </row>
    <row r="56" spans="1:13" ht="15.75" customHeight="1" x14ac:dyDescent="0.25">
      <c r="A56" s="5" t="s">
        <v>74</v>
      </c>
      <c r="B56" s="6" t="s">
        <v>43</v>
      </c>
      <c r="C56" s="38">
        <v>45769</v>
      </c>
      <c r="D56" s="5" t="s">
        <v>98</v>
      </c>
      <c r="E56" s="5" t="s">
        <v>100</v>
      </c>
      <c r="F56" s="6">
        <v>6</v>
      </c>
      <c r="G56" s="40">
        <v>5</v>
      </c>
      <c r="H56" s="43">
        <v>0.83333333333333404</v>
      </c>
      <c r="I56" s="5" t="s">
        <v>60</v>
      </c>
      <c r="J56" s="44"/>
      <c r="K56" s="5" t="s">
        <v>47</v>
      </c>
      <c r="L56" s="4" t="s">
        <v>48</v>
      </c>
      <c r="M56" s="5" t="s">
        <v>90</v>
      </c>
    </row>
    <row r="57" spans="1:13" ht="15.75" customHeight="1" x14ac:dyDescent="0.25">
      <c r="A57" s="2" t="s">
        <v>74</v>
      </c>
      <c r="B57" s="3" t="s">
        <v>101</v>
      </c>
      <c r="C57" s="37">
        <v>45769</v>
      </c>
      <c r="D57" s="2" t="s">
        <v>102</v>
      </c>
      <c r="E57" s="2" t="s">
        <v>103</v>
      </c>
      <c r="F57" s="3">
        <v>15</v>
      </c>
      <c r="G57" s="41">
        <v>2</v>
      </c>
      <c r="H57" s="42">
        <v>0.133333333333333</v>
      </c>
      <c r="I57" s="2" t="s">
        <v>60</v>
      </c>
      <c r="J57" s="44"/>
      <c r="K57" s="2" t="s">
        <v>47</v>
      </c>
      <c r="L57" s="4" t="s">
        <v>48</v>
      </c>
      <c r="M57" s="2" t="s">
        <v>90</v>
      </c>
    </row>
    <row r="58" spans="1:13" ht="15.75" customHeight="1" x14ac:dyDescent="0.25">
      <c r="A58" s="5" t="s">
        <v>42</v>
      </c>
      <c r="B58" s="6" t="s">
        <v>43</v>
      </c>
      <c r="C58" s="38">
        <v>45769</v>
      </c>
      <c r="D58" s="5" t="s">
        <v>77</v>
      </c>
      <c r="E58" s="5" t="s">
        <v>76</v>
      </c>
      <c r="F58" s="6">
        <v>879</v>
      </c>
      <c r="G58" s="40">
        <v>83</v>
      </c>
      <c r="H58" s="43">
        <v>9.4425483503981805E-2</v>
      </c>
      <c r="I58" s="5" t="s">
        <v>60</v>
      </c>
      <c r="J58" s="44"/>
      <c r="K58" s="5" t="s">
        <v>47</v>
      </c>
      <c r="L58" s="7" t="s">
        <v>62</v>
      </c>
      <c r="M58" s="5"/>
    </row>
    <row r="59" spans="1:13" ht="15.75" customHeight="1" x14ac:dyDescent="0.25">
      <c r="A59" s="2" t="s">
        <v>104</v>
      </c>
      <c r="B59" s="3" t="s">
        <v>101</v>
      </c>
      <c r="C59" s="37">
        <v>45769</v>
      </c>
      <c r="D59" s="2" t="s">
        <v>102</v>
      </c>
      <c r="E59" s="2" t="s">
        <v>103</v>
      </c>
      <c r="F59" s="3">
        <v>10</v>
      </c>
      <c r="G59" s="41">
        <v>2</v>
      </c>
      <c r="H59" s="42">
        <v>0.2</v>
      </c>
      <c r="I59" s="2" t="s">
        <v>57</v>
      </c>
      <c r="J59" s="44"/>
      <c r="K59" s="2" t="s">
        <v>47</v>
      </c>
      <c r="L59" s="4" t="s">
        <v>48</v>
      </c>
      <c r="M59" s="2" t="s">
        <v>90</v>
      </c>
    </row>
    <row r="60" spans="1:13" ht="15.75" customHeight="1" x14ac:dyDescent="0.25">
      <c r="A60" s="5" t="s">
        <v>74</v>
      </c>
      <c r="B60" s="6" t="s">
        <v>43</v>
      </c>
      <c r="C60" s="38">
        <v>45770</v>
      </c>
      <c r="D60" s="5" t="s">
        <v>98</v>
      </c>
      <c r="E60" s="5" t="s">
        <v>99</v>
      </c>
      <c r="F60" s="6">
        <v>6</v>
      </c>
      <c r="G60" s="40">
        <v>3</v>
      </c>
      <c r="H60" s="43">
        <v>0.5</v>
      </c>
      <c r="I60" s="5" t="s">
        <v>60</v>
      </c>
      <c r="J60" s="44"/>
      <c r="K60" s="5" t="s">
        <v>47</v>
      </c>
      <c r="L60" s="4" t="s">
        <v>48</v>
      </c>
      <c r="M60" s="5" t="s">
        <v>105</v>
      </c>
    </row>
    <row r="61" spans="1:13" ht="15.75" customHeight="1" x14ac:dyDescent="0.25">
      <c r="A61" s="2" t="s">
        <v>74</v>
      </c>
      <c r="B61" s="3" t="s">
        <v>101</v>
      </c>
      <c r="C61" s="37">
        <v>45769</v>
      </c>
      <c r="D61" s="2" t="s">
        <v>102</v>
      </c>
      <c r="E61" s="2" t="s">
        <v>103</v>
      </c>
      <c r="F61" s="3">
        <v>20</v>
      </c>
      <c r="G61" s="41">
        <v>20</v>
      </c>
      <c r="H61" s="42">
        <v>1</v>
      </c>
      <c r="I61" s="2" t="s">
        <v>55</v>
      </c>
      <c r="J61" s="44"/>
      <c r="K61" s="2" t="s">
        <v>47</v>
      </c>
      <c r="L61" s="4" t="s">
        <v>48</v>
      </c>
      <c r="M61" s="2" t="s">
        <v>90</v>
      </c>
    </row>
    <row r="62" spans="1:13" ht="15.75" customHeight="1" x14ac:dyDescent="0.25">
      <c r="A62" s="5" t="s">
        <v>74</v>
      </c>
      <c r="B62" s="6" t="s">
        <v>43</v>
      </c>
      <c r="C62" s="38">
        <v>45771</v>
      </c>
      <c r="D62" s="5" t="s">
        <v>106</v>
      </c>
      <c r="E62" s="5" t="s">
        <v>51</v>
      </c>
      <c r="F62" s="6">
        <v>1</v>
      </c>
      <c r="G62" s="40">
        <v>1</v>
      </c>
      <c r="H62" s="43">
        <v>1</v>
      </c>
      <c r="I62" s="5" t="s">
        <v>52</v>
      </c>
      <c r="J62" s="44" t="s">
        <v>53</v>
      </c>
      <c r="K62" s="5" t="s">
        <v>47</v>
      </c>
      <c r="L62" s="4" t="s">
        <v>48</v>
      </c>
      <c r="M62" s="5" t="s">
        <v>90</v>
      </c>
    </row>
    <row r="63" spans="1:13" ht="15.75" customHeight="1" x14ac:dyDescent="0.25">
      <c r="A63" s="2" t="s">
        <v>74</v>
      </c>
      <c r="B63" s="3" t="s">
        <v>43</v>
      </c>
      <c r="C63" s="37">
        <v>45771</v>
      </c>
      <c r="D63" s="2" t="s">
        <v>107</v>
      </c>
      <c r="E63" s="2" t="s">
        <v>51</v>
      </c>
      <c r="F63" s="3">
        <v>1</v>
      </c>
      <c r="G63" s="41">
        <v>1</v>
      </c>
      <c r="H63" s="42">
        <v>1</v>
      </c>
      <c r="I63" s="2" t="s">
        <v>52</v>
      </c>
      <c r="J63" s="44" t="s">
        <v>53</v>
      </c>
      <c r="K63" s="2" t="s">
        <v>47</v>
      </c>
      <c r="L63" s="4" t="s">
        <v>48</v>
      </c>
      <c r="M63" s="2" t="s">
        <v>90</v>
      </c>
    </row>
    <row r="64" spans="1:13" ht="15.75" customHeight="1" x14ac:dyDescent="0.25">
      <c r="A64" s="5" t="s">
        <v>74</v>
      </c>
      <c r="B64" s="6" t="s">
        <v>43</v>
      </c>
      <c r="C64" s="38">
        <v>45771</v>
      </c>
      <c r="D64" s="5" t="s">
        <v>108</v>
      </c>
      <c r="E64" s="5" t="s">
        <v>109</v>
      </c>
      <c r="F64" s="6">
        <v>250</v>
      </c>
      <c r="G64" s="40">
        <v>70</v>
      </c>
      <c r="H64" s="43">
        <v>0.28000000000000003</v>
      </c>
      <c r="I64" s="5" t="s">
        <v>70</v>
      </c>
      <c r="J64" s="44" t="s">
        <v>53</v>
      </c>
      <c r="K64" s="5" t="s">
        <v>47</v>
      </c>
      <c r="L64" s="4" t="s">
        <v>48</v>
      </c>
      <c r="M64" s="5" t="s">
        <v>90</v>
      </c>
    </row>
    <row r="65" spans="1:13" ht="15.75" customHeight="1" x14ac:dyDescent="0.25">
      <c r="A65" s="2" t="s">
        <v>74</v>
      </c>
      <c r="B65" s="3" t="s">
        <v>43</v>
      </c>
      <c r="C65" s="37">
        <v>45771</v>
      </c>
      <c r="D65" s="2" t="s">
        <v>110</v>
      </c>
      <c r="E65" s="2" t="s">
        <v>111</v>
      </c>
      <c r="F65" s="3">
        <v>15</v>
      </c>
      <c r="G65" s="41">
        <v>15</v>
      </c>
      <c r="H65" s="42">
        <v>1</v>
      </c>
      <c r="I65" s="2" t="s">
        <v>60</v>
      </c>
      <c r="J65" s="44"/>
      <c r="K65" s="2" t="s">
        <v>15</v>
      </c>
      <c r="L65" s="4" t="s">
        <v>48</v>
      </c>
      <c r="M65" s="2" t="s">
        <v>112</v>
      </c>
    </row>
    <row r="66" spans="1:13" ht="15.75" customHeight="1" x14ac:dyDescent="0.25">
      <c r="A66" s="5" t="s">
        <v>74</v>
      </c>
      <c r="B66" s="6" t="s">
        <v>43</v>
      </c>
      <c r="C66" s="38">
        <v>45771</v>
      </c>
      <c r="D66" s="5" t="s">
        <v>113</v>
      </c>
      <c r="E66" s="5" t="s">
        <v>114</v>
      </c>
      <c r="F66" s="6">
        <v>16</v>
      </c>
      <c r="G66" s="40">
        <v>16</v>
      </c>
      <c r="H66" s="43">
        <v>1</v>
      </c>
      <c r="I66" s="5" t="s">
        <v>55</v>
      </c>
      <c r="J66" s="44"/>
      <c r="K66" s="5" t="s">
        <v>47</v>
      </c>
      <c r="L66" s="4" t="s">
        <v>48</v>
      </c>
      <c r="M66" s="5" t="s">
        <v>65</v>
      </c>
    </row>
    <row r="67" spans="1:13" ht="15.75" customHeight="1" x14ac:dyDescent="0.25">
      <c r="A67" s="2" t="s">
        <v>74</v>
      </c>
      <c r="B67" s="3" t="s">
        <v>43</v>
      </c>
      <c r="C67" s="37">
        <v>45771</v>
      </c>
      <c r="D67" s="2" t="s">
        <v>107</v>
      </c>
      <c r="E67" s="2" t="s">
        <v>51</v>
      </c>
      <c r="F67" s="3">
        <v>1</v>
      </c>
      <c r="G67" s="41">
        <v>1</v>
      </c>
      <c r="H67" s="42">
        <v>1</v>
      </c>
      <c r="I67" s="2" t="s">
        <v>52</v>
      </c>
      <c r="J67" s="44" t="s">
        <v>53</v>
      </c>
      <c r="K67" s="2" t="s">
        <v>47</v>
      </c>
      <c r="L67" s="4" t="s">
        <v>48</v>
      </c>
      <c r="M67" s="2" t="s">
        <v>90</v>
      </c>
    </row>
    <row r="68" spans="1:13" ht="15.75" customHeight="1" x14ac:dyDescent="0.25">
      <c r="A68" s="5" t="s">
        <v>42</v>
      </c>
      <c r="B68" s="6" t="s">
        <v>43</v>
      </c>
      <c r="C68" s="38">
        <v>45771</v>
      </c>
      <c r="D68" s="5" t="s">
        <v>77</v>
      </c>
      <c r="E68" s="5" t="s">
        <v>76</v>
      </c>
      <c r="F68" s="6">
        <v>599</v>
      </c>
      <c r="G68" s="40">
        <v>45</v>
      </c>
      <c r="H68" s="43">
        <v>7.5125208681135203E-2</v>
      </c>
      <c r="I68" s="5" t="s">
        <v>55</v>
      </c>
      <c r="J68" s="44"/>
      <c r="K68" s="5" t="s">
        <v>47</v>
      </c>
      <c r="L68" s="7" t="s">
        <v>62</v>
      </c>
      <c r="M68" s="5" t="s">
        <v>115</v>
      </c>
    </row>
    <row r="69" spans="1:13" ht="15.75" customHeight="1" x14ac:dyDescent="0.25">
      <c r="A69" s="2" t="s">
        <v>42</v>
      </c>
      <c r="B69" s="3" t="s">
        <v>43</v>
      </c>
      <c r="C69" s="37">
        <v>45771</v>
      </c>
      <c r="D69" s="2" t="s">
        <v>63</v>
      </c>
      <c r="E69" s="2" t="s">
        <v>45</v>
      </c>
      <c r="F69" s="3">
        <v>2</v>
      </c>
      <c r="G69" s="41">
        <v>5</v>
      </c>
      <c r="H69" s="42">
        <v>2.5</v>
      </c>
      <c r="I69" s="2" t="s">
        <v>57</v>
      </c>
      <c r="J69" s="44"/>
      <c r="K69" s="2" t="s">
        <v>47</v>
      </c>
      <c r="L69" s="4" t="s">
        <v>48</v>
      </c>
      <c r="M69" s="2" t="s">
        <v>87</v>
      </c>
    </row>
    <row r="70" spans="1:13" ht="15.75" customHeight="1" x14ac:dyDescent="0.25">
      <c r="A70" s="5" t="s">
        <v>74</v>
      </c>
      <c r="B70" s="6" t="s">
        <v>43</v>
      </c>
      <c r="C70" s="38">
        <v>45772</v>
      </c>
      <c r="D70" s="5" t="s">
        <v>116</v>
      </c>
      <c r="E70" s="5" t="s">
        <v>117</v>
      </c>
      <c r="F70" s="6">
        <v>13</v>
      </c>
      <c r="G70" s="40">
        <v>2</v>
      </c>
      <c r="H70" s="43">
        <v>0.15384615384615399</v>
      </c>
      <c r="I70" s="5" t="s">
        <v>52</v>
      </c>
      <c r="J70" s="44" t="s">
        <v>53</v>
      </c>
      <c r="K70" s="5" t="s">
        <v>47</v>
      </c>
      <c r="L70" s="4" t="s">
        <v>48</v>
      </c>
      <c r="M70" s="5" t="s">
        <v>87</v>
      </c>
    </row>
    <row r="71" spans="1:13" ht="15.75" customHeight="1" x14ac:dyDescent="0.25">
      <c r="A71" s="2" t="s">
        <v>74</v>
      </c>
      <c r="B71" s="3" t="s">
        <v>43</v>
      </c>
      <c r="C71" s="37">
        <v>45772</v>
      </c>
      <c r="D71" s="2" t="s">
        <v>118</v>
      </c>
      <c r="E71" s="2" t="s">
        <v>119</v>
      </c>
      <c r="F71" s="3">
        <v>12</v>
      </c>
      <c r="G71" s="41">
        <v>3</v>
      </c>
      <c r="H71" s="42">
        <v>0.25</v>
      </c>
      <c r="I71" s="2" t="s">
        <v>60</v>
      </c>
      <c r="J71" s="44"/>
      <c r="K71" s="2" t="s">
        <v>47</v>
      </c>
      <c r="L71" s="4" t="s">
        <v>48</v>
      </c>
      <c r="M71" s="2" t="s">
        <v>81</v>
      </c>
    </row>
    <row r="72" spans="1:13" ht="15.75" customHeight="1" x14ac:dyDescent="0.25">
      <c r="A72" s="5" t="s">
        <v>74</v>
      </c>
      <c r="B72" s="6" t="s">
        <v>43</v>
      </c>
      <c r="C72" s="38">
        <v>45771</v>
      </c>
      <c r="D72" s="5" t="s">
        <v>110</v>
      </c>
      <c r="E72" s="5" t="s">
        <v>111</v>
      </c>
      <c r="F72" s="6">
        <v>15</v>
      </c>
      <c r="G72" s="40">
        <v>1</v>
      </c>
      <c r="H72" s="43">
        <v>6.6666666666666693E-2</v>
      </c>
      <c r="I72" s="5" t="s">
        <v>60</v>
      </c>
      <c r="J72" s="44"/>
      <c r="K72" s="5" t="s">
        <v>15</v>
      </c>
      <c r="L72" s="4" t="s">
        <v>48</v>
      </c>
      <c r="M72" s="5"/>
    </row>
    <row r="73" spans="1:13" ht="15.75" customHeight="1" x14ac:dyDescent="0.25">
      <c r="A73" s="2" t="s">
        <v>42</v>
      </c>
      <c r="B73" s="3" t="s">
        <v>101</v>
      </c>
      <c r="C73" s="37">
        <v>45772</v>
      </c>
      <c r="D73" s="2" t="s">
        <v>102</v>
      </c>
      <c r="E73" s="2" t="s">
        <v>103</v>
      </c>
      <c r="F73" s="3">
        <v>10</v>
      </c>
      <c r="G73" s="41">
        <v>2</v>
      </c>
      <c r="H73" s="42">
        <v>0.2</v>
      </c>
      <c r="I73" s="2" t="s">
        <v>55</v>
      </c>
      <c r="J73" s="44"/>
      <c r="K73" s="2" t="s">
        <v>47</v>
      </c>
      <c r="L73" s="4" t="s">
        <v>48</v>
      </c>
      <c r="M73" s="2" t="s">
        <v>87</v>
      </c>
    </row>
    <row r="74" spans="1:13" ht="15.75" customHeight="1" x14ac:dyDescent="0.25">
      <c r="A74" s="5" t="s">
        <v>42</v>
      </c>
      <c r="B74" s="6" t="s">
        <v>43</v>
      </c>
      <c r="C74" s="38">
        <v>45772</v>
      </c>
      <c r="D74" s="5" t="s">
        <v>77</v>
      </c>
      <c r="E74" s="5" t="s">
        <v>76</v>
      </c>
      <c r="F74" s="6">
        <v>300</v>
      </c>
      <c r="G74" s="40">
        <v>1</v>
      </c>
      <c r="H74" s="43">
        <v>3.3333333333333301E-3</v>
      </c>
      <c r="I74" s="5" t="s">
        <v>60</v>
      </c>
      <c r="J74" s="44" t="s">
        <v>120</v>
      </c>
      <c r="K74" s="5" t="s">
        <v>47</v>
      </c>
      <c r="L74" s="4" t="s">
        <v>48</v>
      </c>
      <c r="M74" s="5" t="s">
        <v>87</v>
      </c>
    </row>
    <row r="75" spans="1:13" ht="15.75" customHeight="1" x14ac:dyDescent="0.25">
      <c r="A75" s="2" t="s">
        <v>42</v>
      </c>
      <c r="B75" s="3" t="s">
        <v>49</v>
      </c>
      <c r="C75" s="37">
        <v>45772</v>
      </c>
      <c r="D75" s="2" t="s">
        <v>121</v>
      </c>
      <c r="E75" s="2" t="s">
        <v>51</v>
      </c>
      <c r="F75" s="3">
        <v>2</v>
      </c>
      <c r="G75" s="41">
        <v>1</v>
      </c>
      <c r="H75" s="42">
        <v>0.5</v>
      </c>
      <c r="I75" s="2" t="s">
        <v>70</v>
      </c>
      <c r="J75" s="44" t="s">
        <v>53</v>
      </c>
      <c r="K75" s="2" t="s">
        <v>47</v>
      </c>
      <c r="L75" s="4" t="s">
        <v>48</v>
      </c>
      <c r="M75" s="2"/>
    </row>
    <row r="76" spans="1:13" ht="15.75" customHeight="1" x14ac:dyDescent="0.25">
      <c r="A76" s="5" t="s">
        <v>42</v>
      </c>
      <c r="B76" s="6" t="s">
        <v>43</v>
      </c>
      <c r="C76" s="38">
        <v>45772</v>
      </c>
      <c r="D76" s="5" t="s">
        <v>63</v>
      </c>
      <c r="E76" s="5" t="s">
        <v>45</v>
      </c>
      <c r="F76" s="6">
        <v>3</v>
      </c>
      <c r="G76" s="40">
        <v>5</v>
      </c>
      <c r="H76" s="43">
        <v>1.6666666666666701</v>
      </c>
      <c r="I76" s="5" t="s">
        <v>55</v>
      </c>
      <c r="J76" s="44"/>
      <c r="K76" s="5" t="s">
        <v>47</v>
      </c>
      <c r="L76" s="4" t="s">
        <v>48</v>
      </c>
      <c r="M76" s="5" t="s">
        <v>90</v>
      </c>
    </row>
    <row r="77" spans="1:13" ht="15.75" customHeight="1" x14ac:dyDescent="0.25">
      <c r="A77" s="2" t="s">
        <v>74</v>
      </c>
      <c r="B77" s="3" t="s">
        <v>101</v>
      </c>
      <c r="C77" s="37">
        <v>45775</v>
      </c>
      <c r="D77" s="2" t="s">
        <v>122</v>
      </c>
      <c r="E77" s="2" t="s">
        <v>103</v>
      </c>
      <c r="F77" s="3">
        <v>32</v>
      </c>
      <c r="G77" s="41">
        <v>3</v>
      </c>
      <c r="H77" s="42">
        <v>9.375E-2</v>
      </c>
      <c r="I77" s="2" t="s">
        <v>60</v>
      </c>
      <c r="J77" s="44"/>
      <c r="K77" s="2" t="s">
        <v>47</v>
      </c>
      <c r="L77" s="4" t="s">
        <v>48</v>
      </c>
      <c r="M77" s="2" t="s">
        <v>90</v>
      </c>
    </row>
    <row r="78" spans="1:13" ht="15.75" customHeight="1" x14ac:dyDescent="0.25">
      <c r="A78" s="5" t="s">
        <v>74</v>
      </c>
      <c r="B78" s="6" t="s">
        <v>43</v>
      </c>
      <c r="C78" s="38">
        <v>45775</v>
      </c>
      <c r="D78" s="5" t="s">
        <v>123</v>
      </c>
      <c r="E78" s="5" t="s">
        <v>96</v>
      </c>
      <c r="F78" s="6">
        <v>33</v>
      </c>
      <c r="G78" s="40">
        <v>19</v>
      </c>
      <c r="H78" s="43">
        <v>0.57575757575757602</v>
      </c>
      <c r="I78" s="5" t="s">
        <v>60</v>
      </c>
      <c r="J78" s="44"/>
      <c r="K78" s="5" t="s">
        <v>47</v>
      </c>
      <c r="L78" s="4" t="s">
        <v>48</v>
      </c>
      <c r="M78" s="5" t="s">
        <v>87</v>
      </c>
    </row>
    <row r="79" spans="1:13" ht="15.75" customHeight="1" x14ac:dyDescent="0.25">
      <c r="A79" s="2" t="s">
        <v>74</v>
      </c>
      <c r="B79" s="3" t="s">
        <v>43</v>
      </c>
      <c r="C79" s="37">
        <v>45775</v>
      </c>
      <c r="D79" s="2" t="s">
        <v>124</v>
      </c>
      <c r="E79" s="2" t="s">
        <v>125</v>
      </c>
      <c r="F79" s="3">
        <v>50</v>
      </c>
      <c r="G79" s="41">
        <v>1</v>
      </c>
      <c r="H79" s="42">
        <v>0.02</v>
      </c>
      <c r="I79" s="2" t="s">
        <v>60</v>
      </c>
      <c r="J79" s="44"/>
      <c r="K79" s="2" t="s">
        <v>15</v>
      </c>
      <c r="L79" s="4" t="s">
        <v>48</v>
      </c>
      <c r="M79" s="2"/>
    </row>
    <row r="80" spans="1:13" ht="15.75" customHeight="1" x14ac:dyDescent="0.25">
      <c r="A80" s="5" t="s">
        <v>42</v>
      </c>
      <c r="B80" s="6" t="s">
        <v>43</v>
      </c>
      <c r="C80" s="38">
        <v>45775</v>
      </c>
      <c r="D80" s="5" t="s">
        <v>77</v>
      </c>
      <c r="E80" s="5" t="s">
        <v>76</v>
      </c>
      <c r="F80" s="6">
        <v>1660</v>
      </c>
      <c r="G80" s="40">
        <v>95</v>
      </c>
      <c r="H80" s="43">
        <v>5.7228915662650599E-2</v>
      </c>
      <c r="I80" s="5" t="s">
        <v>52</v>
      </c>
      <c r="J80" s="44" t="s">
        <v>53</v>
      </c>
      <c r="K80" s="5" t="s">
        <v>15</v>
      </c>
      <c r="L80" s="4" t="s">
        <v>48</v>
      </c>
      <c r="M80" s="5"/>
    </row>
    <row r="81" spans="1:13" ht="15.75" customHeight="1" x14ac:dyDescent="0.25">
      <c r="A81" s="2" t="s">
        <v>42</v>
      </c>
      <c r="B81" s="3" t="s">
        <v>101</v>
      </c>
      <c r="C81" s="37">
        <v>45775</v>
      </c>
      <c r="D81" s="2" t="s">
        <v>102</v>
      </c>
      <c r="E81" s="2" t="s">
        <v>103</v>
      </c>
      <c r="F81" s="3">
        <v>15</v>
      </c>
      <c r="G81" s="41">
        <v>6</v>
      </c>
      <c r="H81" s="42">
        <v>0.4</v>
      </c>
      <c r="I81" s="2" t="s">
        <v>60</v>
      </c>
      <c r="J81" s="44"/>
      <c r="K81" s="2" t="s">
        <v>47</v>
      </c>
      <c r="L81" s="4" t="s">
        <v>48</v>
      </c>
      <c r="M81" s="2"/>
    </row>
    <row r="82" spans="1:13" ht="15.75" customHeight="1" x14ac:dyDescent="0.25">
      <c r="A82" s="5" t="s">
        <v>42</v>
      </c>
      <c r="B82" s="6" t="s">
        <v>43</v>
      </c>
      <c r="C82" s="38">
        <v>45775</v>
      </c>
      <c r="D82" s="5" t="s">
        <v>124</v>
      </c>
      <c r="E82" s="5" t="s">
        <v>125</v>
      </c>
      <c r="F82" s="6">
        <v>49</v>
      </c>
      <c r="G82" s="40">
        <v>2</v>
      </c>
      <c r="H82" s="43">
        <v>4.0816326530612297E-2</v>
      </c>
      <c r="I82" s="5" t="s">
        <v>46</v>
      </c>
      <c r="J82" s="44"/>
      <c r="K82" s="5" t="s">
        <v>126</v>
      </c>
      <c r="L82" s="4" t="s">
        <v>48</v>
      </c>
      <c r="M82" s="5" t="s">
        <v>127</v>
      </c>
    </row>
    <row r="83" spans="1:13" ht="15.75" customHeight="1" x14ac:dyDescent="0.25">
      <c r="A83" s="2" t="s">
        <v>74</v>
      </c>
      <c r="B83" s="3" t="s">
        <v>43</v>
      </c>
      <c r="C83" s="37">
        <v>45776</v>
      </c>
      <c r="D83" s="2" t="s">
        <v>77</v>
      </c>
      <c r="E83" s="2" t="s">
        <v>76</v>
      </c>
      <c r="F83" s="3">
        <v>275</v>
      </c>
      <c r="G83" s="41">
        <v>60</v>
      </c>
      <c r="H83" s="42">
        <v>0.218181818181818</v>
      </c>
      <c r="I83" s="2" t="s">
        <v>52</v>
      </c>
      <c r="J83" s="44" t="s">
        <v>53</v>
      </c>
      <c r="K83" s="2" t="s">
        <v>15</v>
      </c>
      <c r="L83" s="4" t="s">
        <v>48</v>
      </c>
      <c r="M83" s="2"/>
    </row>
    <row r="84" spans="1:13" ht="15.75" customHeight="1" x14ac:dyDescent="0.25">
      <c r="A84" s="5" t="s">
        <v>74</v>
      </c>
      <c r="B84" s="6" t="s">
        <v>43</v>
      </c>
      <c r="C84" s="38">
        <v>45776</v>
      </c>
      <c r="D84" s="5" t="s">
        <v>128</v>
      </c>
      <c r="E84" s="5" t="s">
        <v>129</v>
      </c>
      <c r="F84" s="6">
        <v>2</v>
      </c>
      <c r="G84" s="40">
        <v>2</v>
      </c>
      <c r="H84" s="43">
        <v>1</v>
      </c>
      <c r="I84" s="5" t="s">
        <v>52</v>
      </c>
      <c r="J84" s="44" t="s">
        <v>53</v>
      </c>
      <c r="K84" s="5" t="s">
        <v>47</v>
      </c>
      <c r="L84" s="4" t="s">
        <v>48</v>
      </c>
      <c r="M84" s="5" t="s">
        <v>87</v>
      </c>
    </row>
    <row r="85" spans="1:13" ht="15.75" customHeight="1" x14ac:dyDescent="0.25">
      <c r="A85" s="2" t="s">
        <v>74</v>
      </c>
      <c r="B85" s="3" t="s">
        <v>43</v>
      </c>
      <c r="C85" s="37">
        <v>45776</v>
      </c>
      <c r="D85" s="2" t="s">
        <v>130</v>
      </c>
      <c r="E85" s="2" t="s">
        <v>96</v>
      </c>
      <c r="F85" s="3">
        <v>1</v>
      </c>
      <c r="G85" s="41">
        <v>1</v>
      </c>
      <c r="H85" s="42">
        <v>1</v>
      </c>
      <c r="I85" s="2" t="s">
        <v>52</v>
      </c>
      <c r="J85" s="44" t="s">
        <v>53</v>
      </c>
      <c r="K85" s="2" t="s">
        <v>47</v>
      </c>
      <c r="L85" s="4" t="s">
        <v>48</v>
      </c>
      <c r="M85" s="2" t="s">
        <v>87</v>
      </c>
    </row>
    <row r="86" spans="1:13" ht="15.75" customHeight="1" x14ac:dyDescent="0.25">
      <c r="A86" s="5" t="s">
        <v>74</v>
      </c>
      <c r="B86" s="6" t="s">
        <v>43</v>
      </c>
      <c r="C86" s="38">
        <v>45776</v>
      </c>
      <c r="D86" s="5" t="s">
        <v>124</v>
      </c>
      <c r="E86" s="5" t="s">
        <v>125</v>
      </c>
      <c r="F86" s="6">
        <v>65</v>
      </c>
      <c r="G86" s="40">
        <v>35</v>
      </c>
      <c r="H86" s="43">
        <v>0.53846153846153799</v>
      </c>
      <c r="I86" s="5" t="s">
        <v>60</v>
      </c>
      <c r="J86" s="44"/>
      <c r="K86" s="5" t="s">
        <v>15</v>
      </c>
      <c r="L86" s="7" t="s">
        <v>62</v>
      </c>
      <c r="M86" s="5" t="s">
        <v>131</v>
      </c>
    </row>
    <row r="87" spans="1:13" ht="15.75" customHeight="1" x14ac:dyDescent="0.25">
      <c r="A87" s="2" t="s">
        <v>42</v>
      </c>
      <c r="B87" s="3" t="s">
        <v>43</v>
      </c>
      <c r="C87" s="37">
        <v>45776</v>
      </c>
      <c r="D87" s="2" t="s">
        <v>77</v>
      </c>
      <c r="E87" s="2" t="s">
        <v>76</v>
      </c>
      <c r="F87" s="3">
        <v>1074</v>
      </c>
      <c r="G87" s="41">
        <v>2</v>
      </c>
      <c r="H87" s="42">
        <v>1.8621973929236499E-3</v>
      </c>
      <c r="I87" s="2" t="s">
        <v>55</v>
      </c>
      <c r="J87" s="44"/>
      <c r="K87" s="2" t="s">
        <v>47</v>
      </c>
      <c r="L87" s="4" t="s">
        <v>48</v>
      </c>
      <c r="M87" s="2" t="s">
        <v>131</v>
      </c>
    </row>
    <row r="88" spans="1:13" ht="15.75" customHeight="1" x14ac:dyDescent="0.25">
      <c r="A88" s="5" t="s">
        <v>42</v>
      </c>
      <c r="B88" s="6" t="s">
        <v>101</v>
      </c>
      <c r="C88" s="38">
        <v>45776</v>
      </c>
      <c r="D88" s="5" t="s">
        <v>102</v>
      </c>
      <c r="E88" s="5" t="s">
        <v>103</v>
      </c>
      <c r="F88" s="6">
        <v>52</v>
      </c>
      <c r="G88" s="40">
        <v>3</v>
      </c>
      <c r="H88" s="43">
        <v>5.7692307692307702E-2</v>
      </c>
      <c r="I88" s="5" t="s">
        <v>57</v>
      </c>
      <c r="J88" s="44"/>
      <c r="K88" s="5" t="s">
        <v>47</v>
      </c>
      <c r="L88" s="4" t="s">
        <v>48</v>
      </c>
      <c r="M88" s="5" t="s">
        <v>87</v>
      </c>
    </row>
    <row r="89" spans="1:13" ht="15.75" customHeight="1" x14ac:dyDescent="0.25">
      <c r="A89" s="2" t="s">
        <v>42</v>
      </c>
      <c r="B89" s="3" t="s">
        <v>43</v>
      </c>
      <c r="C89" s="37">
        <v>45776</v>
      </c>
      <c r="D89" s="2" t="s">
        <v>124</v>
      </c>
      <c r="E89" s="2" t="s">
        <v>125</v>
      </c>
      <c r="F89" s="3">
        <v>92</v>
      </c>
      <c r="G89" s="41">
        <v>0</v>
      </c>
      <c r="H89" s="42">
        <v>0</v>
      </c>
      <c r="I89" s="2" t="s">
        <v>60</v>
      </c>
      <c r="J89" s="44"/>
      <c r="K89" s="2" t="s">
        <v>47</v>
      </c>
      <c r="L89" s="4" t="s">
        <v>48</v>
      </c>
      <c r="M89" s="2"/>
    </row>
    <row r="90" spans="1:13" ht="15.75" customHeight="1" x14ac:dyDescent="0.25">
      <c r="A90" s="5" t="s">
        <v>74</v>
      </c>
      <c r="B90" s="6" t="s">
        <v>43</v>
      </c>
      <c r="C90" s="38">
        <v>45777</v>
      </c>
      <c r="D90" s="5" t="s">
        <v>77</v>
      </c>
      <c r="E90" s="5" t="s">
        <v>76</v>
      </c>
      <c r="F90" s="6">
        <v>277</v>
      </c>
      <c r="G90" s="40">
        <v>126</v>
      </c>
      <c r="H90" s="43">
        <v>0.45487364620938597</v>
      </c>
      <c r="I90" s="5" t="s">
        <v>55</v>
      </c>
      <c r="J90" s="44"/>
      <c r="K90" s="5" t="s">
        <v>47</v>
      </c>
      <c r="L90" s="7" t="s">
        <v>62</v>
      </c>
      <c r="M90" s="5" t="s">
        <v>131</v>
      </c>
    </row>
    <row r="91" spans="1:13" ht="15.75" customHeight="1" x14ac:dyDescent="0.25">
      <c r="A91" s="2" t="s">
        <v>74</v>
      </c>
      <c r="B91" s="3" t="s">
        <v>132</v>
      </c>
      <c r="C91" s="37">
        <v>45777</v>
      </c>
      <c r="D91" s="2" t="s">
        <v>133</v>
      </c>
      <c r="E91" s="2" t="s">
        <v>134</v>
      </c>
      <c r="F91" s="3">
        <v>13</v>
      </c>
      <c r="G91" s="41">
        <v>0</v>
      </c>
      <c r="H91" s="42">
        <v>0</v>
      </c>
      <c r="I91" s="2" t="s">
        <v>60</v>
      </c>
      <c r="J91" s="44"/>
      <c r="K91" s="2" t="s">
        <v>135</v>
      </c>
      <c r="L91" s="4" t="s">
        <v>48</v>
      </c>
      <c r="M91" s="2" t="s">
        <v>87</v>
      </c>
    </row>
    <row r="92" spans="1:13" ht="15.75" customHeight="1" x14ac:dyDescent="0.25">
      <c r="A92" s="5" t="s">
        <v>74</v>
      </c>
      <c r="B92" s="6" t="s">
        <v>49</v>
      </c>
      <c r="C92" s="38">
        <v>45777</v>
      </c>
      <c r="D92" s="5" t="s">
        <v>121</v>
      </c>
      <c r="E92" s="5" t="s">
        <v>51</v>
      </c>
      <c r="F92" s="6">
        <v>2</v>
      </c>
      <c r="G92" s="40">
        <v>2</v>
      </c>
      <c r="H92" s="43">
        <v>1</v>
      </c>
      <c r="I92" s="5" t="s">
        <v>70</v>
      </c>
      <c r="J92" s="44" t="s">
        <v>53</v>
      </c>
      <c r="K92" s="5" t="s">
        <v>47</v>
      </c>
      <c r="L92" s="4" t="s">
        <v>48</v>
      </c>
      <c r="M92" s="5" t="s">
        <v>136</v>
      </c>
    </row>
    <row r="93" spans="1:13" ht="15.75" customHeight="1" x14ac:dyDescent="0.25">
      <c r="A93" s="2" t="s">
        <v>74</v>
      </c>
      <c r="B93" s="3" t="s">
        <v>101</v>
      </c>
      <c r="C93" s="37">
        <v>45777</v>
      </c>
      <c r="D93" s="2" t="s">
        <v>102</v>
      </c>
      <c r="E93" s="2" t="s">
        <v>103</v>
      </c>
      <c r="F93" s="3">
        <v>22</v>
      </c>
      <c r="G93" s="41">
        <v>3</v>
      </c>
      <c r="H93" s="42">
        <v>0.13636363636363599</v>
      </c>
      <c r="I93" s="2" t="s">
        <v>57</v>
      </c>
      <c r="J93" s="44"/>
      <c r="K93" s="2" t="s">
        <v>14</v>
      </c>
      <c r="L93" s="4" t="s">
        <v>48</v>
      </c>
      <c r="M93" s="2" t="s">
        <v>87</v>
      </c>
    </row>
    <row r="94" spans="1:13" ht="15.75" customHeight="1" x14ac:dyDescent="0.25">
      <c r="A94" s="5" t="s">
        <v>42</v>
      </c>
      <c r="B94" s="6" t="s">
        <v>101</v>
      </c>
      <c r="C94" s="38">
        <v>45777</v>
      </c>
      <c r="D94" s="5" t="s">
        <v>102</v>
      </c>
      <c r="E94" s="5" t="s">
        <v>103</v>
      </c>
      <c r="F94" s="6">
        <v>30</v>
      </c>
      <c r="G94" s="40">
        <v>1</v>
      </c>
      <c r="H94" s="43">
        <v>3.3333333333333298E-2</v>
      </c>
      <c r="I94" s="5" t="s">
        <v>57</v>
      </c>
      <c r="J94" s="44"/>
      <c r="K94" s="5" t="s">
        <v>47</v>
      </c>
      <c r="L94" s="4" t="s">
        <v>48</v>
      </c>
      <c r="M94" s="5" t="s">
        <v>87</v>
      </c>
    </row>
    <row r="95" spans="1:13" ht="15.75" customHeight="1" x14ac:dyDescent="0.25">
      <c r="A95" s="2" t="s">
        <v>42</v>
      </c>
      <c r="B95" s="3" t="s">
        <v>43</v>
      </c>
      <c r="C95" s="37">
        <v>45777</v>
      </c>
      <c r="D95" s="2" t="s">
        <v>116</v>
      </c>
      <c r="E95" s="2" t="s">
        <v>117</v>
      </c>
      <c r="F95" s="3">
        <v>8</v>
      </c>
      <c r="G95" s="41">
        <v>2</v>
      </c>
      <c r="H95" s="42">
        <v>0.25</v>
      </c>
      <c r="I95" s="2" t="s">
        <v>57</v>
      </c>
      <c r="J95" s="44"/>
      <c r="K95" s="2" t="s">
        <v>47</v>
      </c>
      <c r="L95" s="4" t="s">
        <v>48</v>
      </c>
      <c r="M95" s="2" t="s">
        <v>87</v>
      </c>
    </row>
    <row r="96" spans="1:13" ht="15.75" customHeight="1" x14ac:dyDescent="0.25">
      <c r="A96" s="5" t="s">
        <v>42</v>
      </c>
      <c r="B96" s="6" t="s">
        <v>43</v>
      </c>
      <c r="C96" s="38">
        <v>45777</v>
      </c>
      <c r="D96" s="5" t="s">
        <v>77</v>
      </c>
      <c r="E96" s="5" t="s">
        <v>76</v>
      </c>
      <c r="F96" s="6">
        <v>1139</v>
      </c>
      <c r="G96" s="40">
        <v>1</v>
      </c>
      <c r="H96" s="43">
        <v>8.7796312554872696E-4</v>
      </c>
      <c r="I96" s="5" t="s">
        <v>55</v>
      </c>
      <c r="J96" s="44"/>
      <c r="K96" s="5" t="s">
        <v>47</v>
      </c>
      <c r="L96" s="4" t="s">
        <v>48</v>
      </c>
      <c r="M96" s="5" t="s">
        <v>131</v>
      </c>
    </row>
    <row r="97" spans="1:13" ht="15.75" customHeight="1" x14ac:dyDescent="0.25">
      <c r="A97" s="2" t="s">
        <v>74</v>
      </c>
      <c r="B97" s="3" t="s">
        <v>43</v>
      </c>
      <c r="C97" s="37">
        <v>45778</v>
      </c>
      <c r="D97" s="2" t="s">
        <v>116</v>
      </c>
      <c r="E97" s="2" t="s">
        <v>117</v>
      </c>
      <c r="F97" s="3">
        <v>14</v>
      </c>
      <c r="G97" s="41">
        <v>2</v>
      </c>
      <c r="H97" s="42">
        <v>0.14285714285714299</v>
      </c>
      <c r="I97" s="2" t="s">
        <v>70</v>
      </c>
      <c r="J97" s="44" t="s">
        <v>53</v>
      </c>
      <c r="K97" s="2" t="s">
        <v>47</v>
      </c>
      <c r="L97" s="4" t="s">
        <v>48</v>
      </c>
      <c r="M97" s="2" t="s">
        <v>87</v>
      </c>
    </row>
    <row r="98" spans="1:13" ht="15.75" customHeight="1" x14ac:dyDescent="0.25">
      <c r="A98" s="5" t="s">
        <v>74</v>
      </c>
      <c r="B98" s="6" t="s">
        <v>43</v>
      </c>
      <c r="C98" s="38">
        <v>45779</v>
      </c>
      <c r="D98" s="5" t="s">
        <v>77</v>
      </c>
      <c r="E98" s="5" t="s">
        <v>76</v>
      </c>
      <c r="F98" s="6">
        <v>957</v>
      </c>
      <c r="G98" s="40">
        <v>77</v>
      </c>
      <c r="H98" s="43">
        <v>8.04597701149425E-2</v>
      </c>
      <c r="I98" s="5" t="s">
        <v>55</v>
      </c>
      <c r="J98" s="44"/>
      <c r="K98" s="5" t="s">
        <v>47</v>
      </c>
      <c r="L98" s="4" t="s">
        <v>48</v>
      </c>
      <c r="M98" s="5" t="s">
        <v>131</v>
      </c>
    </row>
    <row r="99" spans="1:13" ht="15.75" customHeight="1" x14ac:dyDescent="0.25">
      <c r="A99" s="2" t="s">
        <v>74</v>
      </c>
      <c r="B99" s="3" t="s">
        <v>43</v>
      </c>
      <c r="C99" s="37">
        <v>45779</v>
      </c>
      <c r="D99" s="2" t="s">
        <v>58</v>
      </c>
      <c r="E99" s="2" t="s">
        <v>137</v>
      </c>
      <c r="F99" s="3">
        <v>50</v>
      </c>
      <c r="G99" s="41">
        <v>7</v>
      </c>
      <c r="H99" s="42">
        <v>0.14000000000000001</v>
      </c>
      <c r="I99" s="2" t="s">
        <v>55</v>
      </c>
      <c r="J99" s="44"/>
      <c r="K99" s="2" t="s">
        <v>47</v>
      </c>
      <c r="L99" s="4" t="s">
        <v>48</v>
      </c>
      <c r="M99" s="2"/>
    </row>
    <row r="100" spans="1:13" ht="15.75" customHeight="1" x14ac:dyDescent="0.25">
      <c r="A100" s="5" t="s">
        <v>42</v>
      </c>
      <c r="B100" s="6" t="s">
        <v>43</v>
      </c>
      <c r="C100" s="38">
        <v>45779</v>
      </c>
      <c r="D100" s="5" t="s">
        <v>77</v>
      </c>
      <c r="E100" s="5" t="s">
        <v>76</v>
      </c>
      <c r="F100" s="6">
        <v>1607</v>
      </c>
      <c r="G100" s="40">
        <v>5</v>
      </c>
      <c r="H100" s="43">
        <v>3.1113876789047902E-3</v>
      </c>
      <c r="I100" s="5" t="s">
        <v>60</v>
      </c>
      <c r="J100" s="44"/>
      <c r="K100" s="5" t="s">
        <v>47</v>
      </c>
      <c r="L100" s="4" t="s">
        <v>48</v>
      </c>
      <c r="M100" s="5" t="s">
        <v>131</v>
      </c>
    </row>
    <row r="101" spans="1:13" ht="15.75" customHeight="1" x14ac:dyDescent="0.25">
      <c r="A101" s="2" t="s">
        <v>42</v>
      </c>
      <c r="B101" s="3" t="s">
        <v>43</v>
      </c>
      <c r="C101" s="37">
        <v>45779</v>
      </c>
      <c r="D101" s="2" t="s">
        <v>58</v>
      </c>
      <c r="E101" s="2" t="s">
        <v>137</v>
      </c>
      <c r="F101" s="3">
        <v>35</v>
      </c>
      <c r="G101" s="41">
        <v>8</v>
      </c>
      <c r="H101" s="42">
        <v>0.22857142857142901</v>
      </c>
      <c r="I101" s="2" t="s">
        <v>55</v>
      </c>
      <c r="J101" s="44"/>
      <c r="K101" s="2" t="s">
        <v>47</v>
      </c>
      <c r="L101" s="4" t="s">
        <v>48</v>
      </c>
      <c r="M101" s="2" t="s">
        <v>87</v>
      </c>
    </row>
    <row r="102" spans="1:13" ht="15.75" customHeight="1" x14ac:dyDescent="0.25">
      <c r="A102" s="5" t="s">
        <v>42</v>
      </c>
      <c r="B102" s="6" t="s">
        <v>101</v>
      </c>
      <c r="C102" s="38">
        <v>45779</v>
      </c>
      <c r="D102" s="5" t="s">
        <v>102</v>
      </c>
      <c r="E102" s="5" t="s">
        <v>103</v>
      </c>
      <c r="F102" s="6">
        <v>35</v>
      </c>
      <c r="G102" s="40">
        <v>15</v>
      </c>
      <c r="H102" s="43">
        <v>0.42857142857142899</v>
      </c>
      <c r="I102" s="5" t="s">
        <v>57</v>
      </c>
      <c r="J102" s="44"/>
      <c r="K102" s="5" t="s">
        <v>47</v>
      </c>
      <c r="L102" s="4" t="s">
        <v>48</v>
      </c>
      <c r="M102" s="5" t="s">
        <v>87</v>
      </c>
    </row>
    <row r="103" spans="1:13" ht="15.75" customHeight="1" x14ac:dyDescent="0.25">
      <c r="A103" s="2" t="s">
        <v>42</v>
      </c>
      <c r="B103" s="3" t="s">
        <v>43</v>
      </c>
      <c r="C103" s="37">
        <v>45779</v>
      </c>
      <c r="D103" s="2" t="s">
        <v>124</v>
      </c>
      <c r="E103" s="2" t="s">
        <v>125</v>
      </c>
      <c r="F103" s="3">
        <v>85</v>
      </c>
      <c r="G103" s="41">
        <v>5</v>
      </c>
      <c r="H103" s="42">
        <v>5.8823529411764698E-2</v>
      </c>
      <c r="I103" s="2" t="s">
        <v>60</v>
      </c>
      <c r="J103" s="44"/>
      <c r="K103" s="2" t="s">
        <v>15</v>
      </c>
      <c r="L103" s="4" t="s">
        <v>48</v>
      </c>
      <c r="M103" s="2"/>
    </row>
    <row r="104" spans="1:13" ht="15.75" customHeight="1" x14ac:dyDescent="0.25">
      <c r="A104" s="5" t="s">
        <v>74</v>
      </c>
      <c r="B104" s="6" t="s">
        <v>43</v>
      </c>
      <c r="C104" s="38">
        <v>45780</v>
      </c>
      <c r="D104" s="5" t="s">
        <v>138</v>
      </c>
      <c r="E104" s="5" t="s">
        <v>96</v>
      </c>
      <c r="F104" s="6">
        <v>8</v>
      </c>
      <c r="G104" s="40">
        <v>8</v>
      </c>
      <c r="H104" s="43">
        <v>1</v>
      </c>
      <c r="I104" s="5" t="s">
        <v>60</v>
      </c>
      <c r="J104" s="44"/>
      <c r="K104" s="5" t="s">
        <v>15</v>
      </c>
      <c r="L104" s="7" t="s">
        <v>62</v>
      </c>
      <c r="M104" s="5" t="s">
        <v>112</v>
      </c>
    </row>
    <row r="105" spans="1:13" ht="15.75" customHeight="1" x14ac:dyDescent="0.25">
      <c r="A105" s="2" t="s">
        <v>74</v>
      </c>
      <c r="B105" s="3" t="s">
        <v>43</v>
      </c>
      <c r="C105" s="37">
        <v>45780</v>
      </c>
      <c r="D105" s="2" t="s">
        <v>58</v>
      </c>
      <c r="E105" s="2" t="s">
        <v>137</v>
      </c>
      <c r="F105" s="3">
        <v>21</v>
      </c>
      <c r="G105" s="41">
        <v>3</v>
      </c>
      <c r="H105" s="42">
        <v>0.14285714285714299</v>
      </c>
      <c r="I105" s="2" t="s">
        <v>55</v>
      </c>
      <c r="J105" s="44" t="s">
        <v>53</v>
      </c>
      <c r="K105" s="2" t="s">
        <v>47</v>
      </c>
      <c r="L105" s="4" t="s">
        <v>48</v>
      </c>
      <c r="M105" s="2" t="s">
        <v>87</v>
      </c>
    </row>
    <row r="106" spans="1:13" ht="15.75" customHeight="1" x14ac:dyDescent="0.25">
      <c r="A106" s="5" t="s">
        <v>74</v>
      </c>
      <c r="B106" s="6" t="s">
        <v>101</v>
      </c>
      <c r="C106" s="38">
        <v>45780</v>
      </c>
      <c r="D106" s="5" t="s">
        <v>102</v>
      </c>
      <c r="E106" s="5" t="s">
        <v>103</v>
      </c>
      <c r="F106" s="6">
        <v>26</v>
      </c>
      <c r="G106" s="40">
        <v>26</v>
      </c>
      <c r="H106" s="43">
        <v>1</v>
      </c>
      <c r="I106" s="5" t="s">
        <v>60</v>
      </c>
      <c r="J106" s="44"/>
      <c r="K106" s="5" t="s">
        <v>47</v>
      </c>
      <c r="L106" s="7" t="s">
        <v>62</v>
      </c>
      <c r="M106" s="5"/>
    </row>
    <row r="107" spans="1:13" ht="15.75" customHeight="1" x14ac:dyDescent="0.25">
      <c r="A107" s="2" t="s">
        <v>74</v>
      </c>
      <c r="B107" s="3" t="s">
        <v>101</v>
      </c>
      <c r="C107" s="37">
        <v>45782</v>
      </c>
      <c r="D107" s="2" t="s">
        <v>102</v>
      </c>
      <c r="E107" s="2" t="s">
        <v>103</v>
      </c>
      <c r="F107" s="3">
        <v>48</v>
      </c>
      <c r="G107" s="41">
        <v>20</v>
      </c>
      <c r="H107" s="42">
        <v>0.41666666666666702</v>
      </c>
      <c r="I107" s="2" t="s">
        <v>60</v>
      </c>
      <c r="J107" s="44"/>
      <c r="K107" s="2" t="s">
        <v>47</v>
      </c>
      <c r="L107" s="7" t="s">
        <v>62</v>
      </c>
      <c r="M107" s="2"/>
    </row>
    <row r="108" spans="1:13" ht="15.75" customHeight="1" x14ac:dyDescent="0.25">
      <c r="A108" s="5" t="s">
        <v>74</v>
      </c>
      <c r="B108" s="6" t="s">
        <v>139</v>
      </c>
      <c r="C108" s="38">
        <v>45783</v>
      </c>
      <c r="D108" s="5" t="s">
        <v>140</v>
      </c>
      <c r="E108" s="5" t="s">
        <v>139</v>
      </c>
      <c r="F108" s="6">
        <v>2</v>
      </c>
      <c r="G108" s="40">
        <v>2</v>
      </c>
      <c r="H108" s="43">
        <v>1</v>
      </c>
      <c r="I108" s="5" t="s">
        <v>55</v>
      </c>
      <c r="J108" s="44"/>
      <c r="K108" s="5" t="s">
        <v>47</v>
      </c>
      <c r="L108" s="7" t="s">
        <v>62</v>
      </c>
      <c r="M108" s="5"/>
    </row>
    <row r="109" spans="1:13" ht="15.75" customHeight="1" x14ac:dyDescent="0.25">
      <c r="A109" s="2" t="s">
        <v>74</v>
      </c>
      <c r="B109" s="3" t="s">
        <v>49</v>
      </c>
      <c r="C109" s="37">
        <v>45783</v>
      </c>
      <c r="D109" s="2" t="s">
        <v>121</v>
      </c>
      <c r="E109" s="2" t="s">
        <v>51</v>
      </c>
      <c r="F109" s="3">
        <v>1</v>
      </c>
      <c r="G109" s="41">
        <v>1</v>
      </c>
      <c r="H109" s="42">
        <v>1</v>
      </c>
      <c r="I109" s="2" t="s">
        <v>70</v>
      </c>
      <c r="J109" s="44" t="s">
        <v>53</v>
      </c>
      <c r="K109" s="2" t="s">
        <v>47</v>
      </c>
      <c r="L109" s="4" t="s">
        <v>48</v>
      </c>
      <c r="M109" s="45" t="s">
        <v>253</v>
      </c>
    </row>
    <row r="110" spans="1:13" ht="15.75" customHeight="1" x14ac:dyDescent="0.25">
      <c r="A110" s="5" t="s">
        <v>74</v>
      </c>
      <c r="B110" s="6" t="s">
        <v>49</v>
      </c>
      <c r="C110" s="38">
        <v>45782</v>
      </c>
      <c r="D110" s="5" t="s">
        <v>107</v>
      </c>
      <c r="E110" s="5" t="s">
        <v>51</v>
      </c>
      <c r="F110" s="6">
        <v>2</v>
      </c>
      <c r="G110" s="40">
        <v>2</v>
      </c>
      <c r="H110" s="43">
        <v>1</v>
      </c>
      <c r="I110" s="5" t="s">
        <v>70</v>
      </c>
      <c r="J110" s="44" t="s">
        <v>53</v>
      </c>
      <c r="K110" s="5" t="s">
        <v>47</v>
      </c>
      <c r="L110" s="4" t="s">
        <v>48</v>
      </c>
      <c r="M110" s="46" t="s">
        <v>254</v>
      </c>
    </row>
    <row r="111" spans="1:13" ht="15.75" customHeight="1" x14ac:dyDescent="0.25">
      <c r="A111" s="2" t="s">
        <v>42</v>
      </c>
      <c r="B111" s="3" t="s">
        <v>101</v>
      </c>
      <c r="C111" s="37">
        <v>45782</v>
      </c>
      <c r="D111" s="2" t="s">
        <v>102</v>
      </c>
      <c r="E111" s="2" t="s">
        <v>103</v>
      </c>
      <c r="F111" s="3">
        <v>30</v>
      </c>
      <c r="G111" s="41">
        <v>12</v>
      </c>
      <c r="H111" s="42">
        <v>0.4</v>
      </c>
      <c r="I111" s="2" t="s">
        <v>52</v>
      </c>
      <c r="J111" s="44" t="s">
        <v>53</v>
      </c>
      <c r="K111" s="2" t="s">
        <v>47</v>
      </c>
      <c r="L111" s="7" t="s">
        <v>62</v>
      </c>
      <c r="M111" s="2"/>
    </row>
    <row r="112" spans="1:13" ht="15.75" customHeight="1" x14ac:dyDescent="0.25">
      <c r="A112" s="5" t="s">
        <v>42</v>
      </c>
      <c r="B112" s="6" t="s">
        <v>43</v>
      </c>
      <c r="C112" s="38">
        <v>45782</v>
      </c>
      <c r="D112" s="5" t="s">
        <v>77</v>
      </c>
      <c r="E112" s="5" t="s">
        <v>76</v>
      </c>
      <c r="F112" s="6">
        <v>662</v>
      </c>
      <c r="G112" s="40">
        <v>1</v>
      </c>
      <c r="H112" s="43">
        <v>1.51057401812689E-3</v>
      </c>
      <c r="I112" s="5" t="s">
        <v>55</v>
      </c>
      <c r="J112" s="44"/>
      <c r="K112" s="5" t="s">
        <v>47</v>
      </c>
      <c r="L112" s="4" t="s">
        <v>48</v>
      </c>
      <c r="M112" s="5" t="s">
        <v>131</v>
      </c>
    </row>
    <row r="113" spans="1:13" ht="15.75" customHeight="1" x14ac:dyDescent="0.25">
      <c r="A113" s="2" t="s">
        <v>42</v>
      </c>
      <c r="B113" s="3" t="s">
        <v>43</v>
      </c>
      <c r="C113" s="37">
        <v>45782</v>
      </c>
      <c r="D113" s="2" t="s">
        <v>88</v>
      </c>
      <c r="E113" s="2" t="s">
        <v>89</v>
      </c>
      <c r="F113" s="3">
        <v>5</v>
      </c>
      <c r="G113" s="41">
        <v>1</v>
      </c>
      <c r="H113" s="42">
        <v>0.2</v>
      </c>
      <c r="I113" s="2" t="s">
        <v>55</v>
      </c>
      <c r="J113" s="44"/>
      <c r="K113" s="2" t="s">
        <v>47</v>
      </c>
      <c r="L113" s="7" t="s">
        <v>62</v>
      </c>
      <c r="M113" s="2" t="s">
        <v>141</v>
      </c>
    </row>
    <row r="114" spans="1:13" ht="15.75" customHeight="1" x14ac:dyDescent="0.25">
      <c r="A114" s="5" t="s">
        <v>42</v>
      </c>
      <c r="B114" s="6" t="s">
        <v>43</v>
      </c>
      <c r="C114" s="38">
        <v>45783</v>
      </c>
      <c r="D114" s="5" t="s">
        <v>77</v>
      </c>
      <c r="E114" s="5" t="s">
        <v>76</v>
      </c>
      <c r="F114" s="6">
        <v>1273</v>
      </c>
      <c r="G114" s="40">
        <v>25</v>
      </c>
      <c r="H114" s="43">
        <v>1.96386488609584E-2</v>
      </c>
      <c r="I114" s="5" t="s">
        <v>55</v>
      </c>
      <c r="J114" s="44"/>
      <c r="K114" s="5" t="s">
        <v>47</v>
      </c>
      <c r="L114" s="4" t="s">
        <v>48</v>
      </c>
      <c r="M114" s="5" t="s">
        <v>131</v>
      </c>
    </row>
    <row r="115" spans="1:13" ht="15.75" customHeight="1" x14ac:dyDescent="0.25">
      <c r="A115" s="2" t="s">
        <v>42</v>
      </c>
      <c r="B115" s="3" t="s">
        <v>43</v>
      </c>
      <c r="C115" s="37">
        <v>45783</v>
      </c>
      <c r="D115" s="2" t="s">
        <v>88</v>
      </c>
      <c r="E115" s="2" t="s">
        <v>89</v>
      </c>
      <c r="F115" s="3">
        <v>15</v>
      </c>
      <c r="G115" s="41">
        <v>3</v>
      </c>
      <c r="H115" s="42">
        <v>0.2</v>
      </c>
      <c r="I115" s="2" t="s">
        <v>55</v>
      </c>
      <c r="J115" s="44"/>
      <c r="K115" s="2" t="s">
        <v>47</v>
      </c>
      <c r="L115" s="4" t="s">
        <v>48</v>
      </c>
      <c r="M115" s="2" t="s">
        <v>141</v>
      </c>
    </row>
    <row r="116" spans="1:13" ht="15.75" customHeight="1" x14ac:dyDescent="0.25">
      <c r="A116" s="5" t="s">
        <v>42</v>
      </c>
      <c r="B116" s="6" t="s">
        <v>49</v>
      </c>
      <c r="C116" s="38">
        <v>45783</v>
      </c>
      <c r="D116" s="5" t="s">
        <v>107</v>
      </c>
      <c r="E116" s="5" t="s">
        <v>51</v>
      </c>
      <c r="F116" s="6">
        <v>2</v>
      </c>
      <c r="G116" s="40">
        <v>1</v>
      </c>
      <c r="H116" s="43">
        <v>0.5</v>
      </c>
      <c r="I116" s="5" t="s">
        <v>70</v>
      </c>
      <c r="J116" s="44" t="s">
        <v>53</v>
      </c>
      <c r="K116" s="5" t="s">
        <v>47</v>
      </c>
      <c r="L116" s="4" t="s">
        <v>48</v>
      </c>
      <c r="M116" s="5" t="s">
        <v>90</v>
      </c>
    </row>
    <row r="117" spans="1:13" ht="15.75" customHeight="1" x14ac:dyDescent="0.25">
      <c r="A117" s="2" t="s">
        <v>42</v>
      </c>
      <c r="B117" s="3" t="s">
        <v>43</v>
      </c>
      <c r="C117" s="37">
        <v>45783</v>
      </c>
      <c r="D117" s="2" t="s">
        <v>44</v>
      </c>
      <c r="E117" s="2" t="s">
        <v>45</v>
      </c>
      <c r="F117" s="3">
        <v>4</v>
      </c>
      <c r="G117" s="41">
        <v>5</v>
      </c>
      <c r="H117" s="42">
        <v>1.25</v>
      </c>
      <c r="I117" s="2" t="s">
        <v>55</v>
      </c>
      <c r="J117" s="44"/>
      <c r="K117" s="2" t="s">
        <v>47</v>
      </c>
      <c r="L117" s="4" t="s">
        <v>48</v>
      </c>
      <c r="M117" s="2" t="s">
        <v>90</v>
      </c>
    </row>
    <row r="118" spans="1:13" ht="15.75" customHeight="1" x14ac:dyDescent="0.25">
      <c r="A118" s="5" t="s">
        <v>74</v>
      </c>
      <c r="B118" s="6" t="s">
        <v>43</v>
      </c>
      <c r="C118" s="38">
        <v>45784</v>
      </c>
      <c r="D118" s="5" t="s">
        <v>44</v>
      </c>
      <c r="E118" s="5" t="s">
        <v>45</v>
      </c>
      <c r="F118" s="6">
        <v>2</v>
      </c>
      <c r="G118" s="40">
        <v>2</v>
      </c>
      <c r="H118" s="43">
        <v>1</v>
      </c>
      <c r="I118" s="5" t="s">
        <v>55</v>
      </c>
      <c r="J118" s="44"/>
      <c r="K118" s="5" t="s">
        <v>47</v>
      </c>
      <c r="L118" s="4" t="s">
        <v>48</v>
      </c>
      <c r="M118" s="5" t="s">
        <v>90</v>
      </c>
    </row>
    <row r="119" spans="1:13" ht="15.75" customHeight="1" x14ac:dyDescent="0.25">
      <c r="A119" s="2" t="s">
        <v>74</v>
      </c>
      <c r="B119" s="3" t="s">
        <v>43</v>
      </c>
      <c r="C119" s="37">
        <v>45784</v>
      </c>
      <c r="D119" s="2" t="s">
        <v>88</v>
      </c>
      <c r="E119" s="2" t="s">
        <v>89</v>
      </c>
      <c r="F119" s="3">
        <v>4</v>
      </c>
      <c r="G119" s="41">
        <v>0</v>
      </c>
      <c r="H119" s="42">
        <v>0</v>
      </c>
      <c r="I119" s="2" t="s">
        <v>55</v>
      </c>
      <c r="J119" s="44"/>
      <c r="K119" s="2" t="s">
        <v>142</v>
      </c>
      <c r="L119" s="4" t="s">
        <v>48</v>
      </c>
      <c r="M119" s="2"/>
    </row>
    <row r="120" spans="1:13" ht="15.75" customHeight="1" x14ac:dyDescent="0.25">
      <c r="A120" s="5" t="s">
        <v>74</v>
      </c>
      <c r="B120" s="6" t="s">
        <v>101</v>
      </c>
      <c r="C120" s="38">
        <v>45784</v>
      </c>
      <c r="D120" s="5" t="s">
        <v>102</v>
      </c>
      <c r="E120" s="5" t="s">
        <v>103</v>
      </c>
      <c r="F120" s="6">
        <v>26</v>
      </c>
      <c r="G120" s="40">
        <v>5</v>
      </c>
      <c r="H120" s="43">
        <v>0.19230769230769201</v>
      </c>
      <c r="I120" s="5" t="s">
        <v>57</v>
      </c>
      <c r="J120" s="44"/>
      <c r="K120" s="5" t="s">
        <v>47</v>
      </c>
      <c r="L120" s="4" t="s">
        <v>48</v>
      </c>
      <c r="M120" s="5" t="s">
        <v>90</v>
      </c>
    </row>
    <row r="121" spans="1:13" ht="15.75" customHeight="1" x14ac:dyDescent="0.25">
      <c r="A121" s="2" t="s">
        <v>74</v>
      </c>
      <c r="B121" s="3" t="s">
        <v>43</v>
      </c>
      <c r="C121" s="37">
        <v>45784</v>
      </c>
      <c r="D121" s="2" t="s">
        <v>77</v>
      </c>
      <c r="E121" s="2" t="s">
        <v>76</v>
      </c>
      <c r="F121" s="3">
        <v>347</v>
      </c>
      <c r="G121" s="41">
        <v>147</v>
      </c>
      <c r="H121" s="42">
        <v>0.42363112391930802</v>
      </c>
      <c r="I121" s="2" t="s">
        <v>55</v>
      </c>
      <c r="J121" s="44"/>
      <c r="K121" s="2" t="s">
        <v>47</v>
      </c>
      <c r="L121" s="7" t="s">
        <v>62</v>
      </c>
      <c r="M121" s="2"/>
    </row>
    <row r="122" spans="1:13" ht="15.75" customHeight="1" x14ac:dyDescent="0.25">
      <c r="A122" s="5" t="s">
        <v>42</v>
      </c>
      <c r="B122" s="6" t="s">
        <v>43</v>
      </c>
      <c r="C122" s="38">
        <v>45784</v>
      </c>
      <c r="D122" s="5" t="s">
        <v>77</v>
      </c>
      <c r="E122" s="5" t="s">
        <v>76</v>
      </c>
      <c r="F122" s="6">
        <v>825</v>
      </c>
      <c r="G122" s="40">
        <v>12</v>
      </c>
      <c r="H122" s="43">
        <v>1.4545454545454599E-2</v>
      </c>
      <c r="I122" s="5" t="s">
        <v>55</v>
      </c>
      <c r="J122" s="44"/>
      <c r="K122" s="5" t="s">
        <v>47</v>
      </c>
      <c r="L122" s="7" t="s">
        <v>62</v>
      </c>
      <c r="M122" s="5"/>
    </row>
    <row r="123" spans="1:13" ht="15.75" customHeight="1" x14ac:dyDescent="0.25">
      <c r="A123" s="2" t="s">
        <v>42</v>
      </c>
      <c r="B123" s="3" t="s">
        <v>143</v>
      </c>
      <c r="C123" s="37">
        <v>45784</v>
      </c>
      <c r="D123" s="2">
        <v>46</v>
      </c>
      <c r="E123" s="2" t="s">
        <v>144</v>
      </c>
      <c r="F123" s="3">
        <v>21</v>
      </c>
      <c r="G123" s="41">
        <v>21</v>
      </c>
      <c r="H123" s="42">
        <v>1</v>
      </c>
      <c r="I123" s="2" t="s">
        <v>60</v>
      </c>
      <c r="J123" s="44"/>
      <c r="K123" s="2" t="s">
        <v>15</v>
      </c>
      <c r="L123" s="7" t="s">
        <v>62</v>
      </c>
      <c r="M123" s="2"/>
    </row>
    <row r="124" spans="1:13" ht="15.75" customHeight="1" x14ac:dyDescent="0.25">
      <c r="A124" s="5" t="s">
        <v>42</v>
      </c>
      <c r="B124" s="6" t="s">
        <v>49</v>
      </c>
      <c r="C124" s="38">
        <v>45785</v>
      </c>
      <c r="D124" s="5" t="s">
        <v>73</v>
      </c>
      <c r="E124" s="5" t="s">
        <v>45</v>
      </c>
      <c r="F124" s="6">
        <v>4</v>
      </c>
      <c r="G124" s="40">
        <v>2</v>
      </c>
      <c r="H124" s="43">
        <v>0.5</v>
      </c>
      <c r="I124" s="5" t="s">
        <v>55</v>
      </c>
      <c r="J124" s="44"/>
      <c r="K124" s="5" t="s">
        <v>47</v>
      </c>
      <c r="L124" s="4" t="s">
        <v>48</v>
      </c>
      <c r="M124" s="5" t="s">
        <v>87</v>
      </c>
    </row>
    <row r="125" spans="1:13" ht="15.75" customHeight="1" x14ac:dyDescent="0.25">
      <c r="A125" s="2" t="s">
        <v>74</v>
      </c>
      <c r="B125" s="3" t="s">
        <v>49</v>
      </c>
      <c r="C125" s="37">
        <v>45785</v>
      </c>
      <c r="D125" s="2" t="s">
        <v>73</v>
      </c>
      <c r="E125" s="2" t="s">
        <v>45</v>
      </c>
      <c r="F125" s="3">
        <v>1</v>
      </c>
      <c r="G125" s="41">
        <v>0</v>
      </c>
      <c r="H125" s="42">
        <v>0</v>
      </c>
      <c r="I125" s="2" t="s">
        <v>55</v>
      </c>
      <c r="J125" s="44"/>
      <c r="K125" s="2" t="s">
        <v>142</v>
      </c>
      <c r="L125" s="4" t="s">
        <v>48</v>
      </c>
      <c r="M125" s="2"/>
    </row>
    <row r="126" spans="1:13" ht="15.75" customHeight="1" x14ac:dyDescent="0.25">
      <c r="A126" s="5" t="s">
        <v>74</v>
      </c>
      <c r="B126" s="6" t="s">
        <v>49</v>
      </c>
      <c r="C126" s="38">
        <v>45785</v>
      </c>
      <c r="D126" s="5" t="s">
        <v>145</v>
      </c>
      <c r="E126" s="5" t="s">
        <v>146</v>
      </c>
      <c r="F126" s="6">
        <v>20</v>
      </c>
      <c r="G126" s="40">
        <v>2</v>
      </c>
      <c r="H126" s="43">
        <v>0.1</v>
      </c>
      <c r="I126" s="5" t="s">
        <v>57</v>
      </c>
      <c r="J126" s="44"/>
      <c r="K126" s="5" t="s">
        <v>47</v>
      </c>
      <c r="L126" s="4" t="s">
        <v>48</v>
      </c>
      <c r="M126" s="5" t="s">
        <v>87</v>
      </c>
    </row>
    <row r="127" spans="1:13" ht="15.75" customHeight="1" x14ac:dyDescent="0.25">
      <c r="A127" s="2" t="s">
        <v>42</v>
      </c>
      <c r="B127" s="3" t="s">
        <v>49</v>
      </c>
      <c r="C127" s="37">
        <v>45785</v>
      </c>
      <c r="D127" s="2" t="s">
        <v>73</v>
      </c>
      <c r="E127" s="2" t="s">
        <v>45</v>
      </c>
      <c r="F127" s="3">
        <v>1</v>
      </c>
      <c r="G127" s="41">
        <v>3</v>
      </c>
      <c r="H127" s="42">
        <v>3</v>
      </c>
      <c r="I127" s="2" t="s">
        <v>57</v>
      </c>
      <c r="J127" s="44"/>
      <c r="K127" s="2" t="s">
        <v>47</v>
      </c>
      <c r="L127" s="4" t="s">
        <v>48</v>
      </c>
      <c r="M127" s="2" t="s">
        <v>87</v>
      </c>
    </row>
    <row r="128" spans="1:13" ht="15.75" customHeight="1" x14ac:dyDescent="0.25">
      <c r="A128" s="5" t="s">
        <v>42</v>
      </c>
      <c r="B128" s="6" t="s">
        <v>49</v>
      </c>
      <c r="C128" s="38">
        <v>45785</v>
      </c>
      <c r="D128" s="5" t="s">
        <v>44</v>
      </c>
      <c r="E128" s="5" t="s">
        <v>45</v>
      </c>
      <c r="F128" s="6">
        <v>1</v>
      </c>
      <c r="G128" s="40">
        <v>1</v>
      </c>
      <c r="H128" s="43">
        <v>1</v>
      </c>
      <c r="I128" s="5" t="s">
        <v>57</v>
      </c>
      <c r="J128" s="44"/>
      <c r="K128" s="5" t="s">
        <v>47</v>
      </c>
      <c r="L128" s="4" t="s">
        <v>48</v>
      </c>
      <c r="M128" s="5" t="s">
        <v>87</v>
      </c>
    </row>
    <row r="129" spans="1:13" ht="15.75" customHeight="1" x14ac:dyDescent="0.25">
      <c r="A129" s="2" t="s">
        <v>74</v>
      </c>
      <c r="B129" s="3" t="s">
        <v>49</v>
      </c>
      <c r="C129" s="37">
        <v>45786</v>
      </c>
      <c r="D129" s="2" t="s">
        <v>44</v>
      </c>
      <c r="E129" s="2" t="s">
        <v>45</v>
      </c>
      <c r="F129" s="3">
        <v>1</v>
      </c>
      <c r="G129" s="41"/>
      <c r="H129" s="42">
        <v>0</v>
      </c>
      <c r="I129" s="2" t="s">
        <v>57</v>
      </c>
      <c r="J129" s="44"/>
      <c r="K129" s="2" t="s">
        <v>142</v>
      </c>
      <c r="L129" s="4" t="s">
        <v>48</v>
      </c>
      <c r="M129" s="2" t="s">
        <v>87</v>
      </c>
    </row>
    <row r="130" spans="1:13" ht="15.75" customHeight="1" x14ac:dyDescent="0.25">
      <c r="A130" s="5" t="s">
        <v>42</v>
      </c>
      <c r="B130" s="6" t="s">
        <v>49</v>
      </c>
      <c r="C130" s="38">
        <v>45786</v>
      </c>
      <c r="D130" s="5" t="s">
        <v>44</v>
      </c>
      <c r="E130" s="5" t="s">
        <v>45</v>
      </c>
      <c r="F130" s="6">
        <v>1</v>
      </c>
      <c r="G130" s="40">
        <v>3</v>
      </c>
      <c r="H130" s="43">
        <v>3</v>
      </c>
      <c r="I130" s="5" t="s">
        <v>57</v>
      </c>
      <c r="J130" s="44"/>
      <c r="K130" s="5" t="s">
        <v>47</v>
      </c>
      <c r="L130" s="4" t="s">
        <v>48</v>
      </c>
      <c r="M130" s="5" t="s">
        <v>87</v>
      </c>
    </row>
    <row r="131" spans="1:13" ht="15.75" customHeight="1" x14ac:dyDescent="0.25">
      <c r="A131" s="2" t="s">
        <v>42</v>
      </c>
      <c r="B131" s="3" t="s">
        <v>49</v>
      </c>
      <c r="C131" s="37">
        <v>45786</v>
      </c>
      <c r="D131" s="2" t="s">
        <v>73</v>
      </c>
      <c r="E131" s="2" t="s">
        <v>45</v>
      </c>
      <c r="F131" s="3">
        <v>1</v>
      </c>
      <c r="G131" s="41">
        <v>1</v>
      </c>
      <c r="H131" s="42">
        <v>1</v>
      </c>
      <c r="I131" s="2" t="s">
        <v>60</v>
      </c>
      <c r="J131" s="44"/>
      <c r="K131" s="2" t="s">
        <v>147</v>
      </c>
      <c r="L131" s="7" t="s">
        <v>62</v>
      </c>
      <c r="M131" s="2"/>
    </row>
    <row r="132" spans="1:13" ht="15.75" customHeight="1" x14ac:dyDescent="0.25">
      <c r="A132" s="5" t="s">
        <v>74</v>
      </c>
      <c r="B132" s="6" t="s">
        <v>43</v>
      </c>
      <c r="C132" s="38">
        <v>45789</v>
      </c>
      <c r="D132" s="5" t="s">
        <v>44</v>
      </c>
      <c r="E132" s="5" t="s">
        <v>45</v>
      </c>
      <c r="F132" s="6">
        <v>5</v>
      </c>
      <c r="G132" s="40">
        <v>3</v>
      </c>
      <c r="H132" s="43">
        <v>0.6</v>
      </c>
      <c r="I132" s="5" t="s">
        <v>52</v>
      </c>
      <c r="J132" s="44" t="s">
        <v>53</v>
      </c>
      <c r="K132" s="5" t="s">
        <v>148</v>
      </c>
      <c r="L132" s="4" t="s">
        <v>48</v>
      </c>
      <c r="M132" s="5" t="s">
        <v>87</v>
      </c>
    </row>
    <row r="133" spans="1:13" ht="15.75" customHeight="1" x14ac:dyDescent="0.25">
      <c r="A133" s="2" t="s">
        <v>74</v>
      </c>
      <c r="B133" s="3" t="s">
        <v>49</v>
      </c>
      <c r="C133" s="37">
        <v>45789</v>
      </c>
      <c r="D133" s="2" t="s">
        <v>73</v>
      </c>
      <c r="E133" s="2" t="s">
        <v>45</v>
      </c>
      <c r="F133" s="3">
        <v>2</v>
      </c>
      <c r="G133" s="41">
        <v>2</v>
      </c>
      <c r="H133" s="42">
        <v>1</v>
      </c>
      <c r="I133" s="2" t="s">
        <v>52</v>
      </c>
      <c r="J133" s="44" t="s">
        <v>53</v>
      </c>
      <c r="K133" s="2" t="s">
        <v>47</v>
      </c>
      <c r="L133" s="4" t="s">
        <v>48</v>
      </c>
      <c r="M133" s="2" t="s">
        <v>87</v>
      </c>
    </row>
    <row r="134" spans="1:13" ht="15.75" customHeight="1" x14ac:dyDescent="0.25">
      <c r="A134" s="5" t="s">
        <v>74</v>
      </c>
      <c r="B134" s="6" t="s">
        <v>43</v>
      </c>
      <c r="C134" s="38">
        <v>45789</v>
      </c>
      <c r="D134" s="5" t="s">
        <v>149</v>
      </c>
      <c r="E134" s="5" t="s">
        <v>45</v>
      </c>
      <c r="F134" s="6">
        <v>2</v>
      </c>
      <c r="G134" s="40">
        <v>2</v>
      </c>
      <c r="H134" s="43">
        <v>1</v>
      </c>
      <c r="I134" s="5" t="s">
        <v>55</v>
      </c>
      <c r="J134" s="44"/>
      <c r="K134" s="5" t="s">
        <v>47</v>
      </c>
      <c r="L134" s="4" t="s">
        <v>48</v>
      </c>
      <c r="M134" s="5" t="s">
        <v>87</v>
      </c>
    </row>
    <row r="135" spans="1:13" ht="15.75" customHeight="1" x14ac:dyDescent="0.25">
      <c r="A135" s="2" t="s">
        <v>74</v>
      </c>
      <c r="B135" s="3" t="s">
        <v>43</v>
      </c>
      <c r="C135" s="37">
        <v>45789</v>
      </c>
      <c r="D135" s="2" t="s">
        <v>150</v>
      </c>
      <c r="E135" s="2" t="s">
        <v>45</v>
      </c>
      <c r="F135" s="3">
        <v>3</v>
      </c>
      <c r="G135" s="41">
        <v>2</v>
      </c>
      <c r="H135" s="42">
        <v>0.66666666666666696</v>
      </c>
      <c r="I135" s="2" t="s">
        <v>57</v>
      </c>
      <c r="J135" s="44"/>
      <c r="K135" s="2" t="s">
        <v>47</v>
      </c>
      <c r="L135" s="4" t="s">
        <v>48</v>
      </c>
      <c r="M135" s="2" t="s">
        <v>87</v>
      </c>
    </row>
    <row r="136" spans="1:13" ht="15.75" customHeight="1" x14ac:dyDescent="0.25">
      <c r="A136" s="5" t="s">
        <v>74</v>
      </c>
      <c r="B136" s="6" t="s">
        <v>43</v>
      </c>
      <c r="C136" s="38">
        <v>45789</v>
      </c>
      <c r="D136" s="5" t="s">
        <v>151</v>
      </c>
      <c r="E136" s="5" t="s">
        <v>137</v>
      </c>
      <c r="F136" s="6">
        <v>83</v>
      </c>
      <c r="G136" s="40">
        <v>15</v>
      </c>
      <c r="H136" s="43">
        <v>0.180722891566265</v>
      </c>
      <c r="I136" s="5" t="s">
        <v>57</v>
      </c>
      <c r="J136" s="44"/>
      <c r="K136" s="5" t="s">
        <v>47</v>
      </c>
      <c r="L136" s="7" t="s">
        <v>62</v>
      </c>
      <c r="M136" s="5"/>
    </row>
    <row r="137" spans="1:13" ht="15.75" customHeight="1" x14ac:dyDescent="0.25">
      <c r="A137" s="2" t="s">
        <v>42</v>
      </c>
      <c r="B137" s="3" t="s">
        <v>49</v>
      </c>
      <c r="C137" s="37">
        <v>45790</v>
      </c>
      <c r="D137" s="2" t="s">
        <v>73</v>
      </c>
      <c r="E137" s="2" t="s">
        <v>45</v>
      </c>
      <c r="F137" s="3">
        <v>8</v>
      </c>
      <c r="G137" s="41">
        <v>6</v>
      </c>
      <c r="H137" s="42">
        <v>0.75</v>
      </c>
      <c r="I137" s="2" t="s">
        <v>60</v>
      </c>
      <c r="J137" s="44"/>
      <c r="K137" s="2" t="s">
        <v>47</v>
      </c>
      <c r="L137" s="7" t="s">
        <v>62</v>
      </c>
      <c r="M137" s="2" t="s">
        <v>56</v>
      </c>
    </row>
    <row r="138" spans="1:13" ht="15.75" customHeight="1" x14ac:dyDescent="0.25">
      <c r="A138" s="5" t="s">
        <v>42</v>
      </c>
      <c r="B138" s="6" t="s">
        <v>49</v>
      </c>
      <c r="C138" s="38">
        <v>45790</v>
      </c>
      <c r="D138" s="5" t="s">
        <v>44</v>
      </c>
      <c r="E138" s="5" t="s">
        <v>45</v>
      </c>
      <c r="F138" s="6">
        <v>2</v>
      </c>
      <c r="G138" s="40">
        <v>2</v>
      </c>
      <c r="H138" s="43">
        <v>1</v>
      </c>
      <c r="I138" s="5" t="s">
        <v>57</v>
      </c>
      <c r="J138" s="44"/>
      <c r="K138" s="5" t="s">
        <v>47</v>
      </c>
      <c r="L138" s="7" t="s">
        <v>62</v>
      </c>
      <c r="M138" s="5" t="s">
        <v>56</v>
      </c>
    </row>
    <row r="139" spans="1:13" ht="15.75" customHeight="1" x14ac:dyDescent="0.25">
      <c r="A139" s="2" t="s">
        <v>42</v>
      </c>
      <c r="B139" s="3" t="s">
        <v>43</v>
      </c>
      <c r="C139" s="37">
        <v>45790</v>
      </c>
      <c r="D139" s="2" t="s">
        <v>152</v>
      </c>
      <c r="E139" s="2" t="s">
        <v>51</v>
      </c>
      <c r="F139" s="3">
        <v>2</v>
      </c>
      <c r="G139" s="41">
        <v>2</v>
      </c>
      <c r="H139" s="42">
        <v>1</v>
      </c>
      <c r="I139" s="2" t="s">
        <v>57</v>
      </c>
      <c r="J139" s="44"/>
      <c r="K139" s="2" t="s">
        <v>47</v>
      </c>
      <c r="L139" s="7" t="s">
        <v>62</v>
      </c>
      <c r="M139" s="2" t="s">
        <v>56</v>
      </c>
    </row>
    <row r="140" spans="1:13" ht="15.75" customHeight="1" x14ac:dyDescent="0.25">
      <c r="A140" s="5" t="s">
        <v>153</v>
      </c>
      <c r="B140" s="6" t="s">
        <v>49</v>
      </c>
      <c r="C140" s="38">
        <v>45791</v>
      </c>
      <c r="D140" s="5" t="s">
        <v>92</v>
      </c>
      <c r="E140" s="5" t="s">
        <v>45</v>
      </c>
      <c r="F140" s="6">
        <v>8</v>
      </c>
      <c r="G140" s="40">
        <v>0</v>
      </c>
      <c r="H140" s="43">
        <v>0</v>
      </c>
      <c r="I140" s="5" t="s">
        <v>60</v>
      </c>
      <c r="J140" s="44"/>
      <c r="K140" s="5" t="s">
        <v>93</v>
      </c>
      <c r="L140" s="4" t="s">
        <v>48</v>
      </c>
      <c r="M140" s="5" t="s">
        <v>94</v>
      </c>
    </row>
    <row r="141" spans="1:13" ht="15.75" customHeight="1" x14ac:dyDescent="0.25">
      <c r="A141" s="2" t="s">
        <v>153</v>
      </c>
      <c r="B141" s="3" t="s">
        <v>43</v>
      </c>
      <c r="C141" s="37">
        <v>45791</v>
      </c>
      <c r="D141" s="2" t="s">
        <v>154</v>
      </c>
      <c r="E141" s="2" t="s">
        <v>45</v>
      </c>
      <c r="F141" s="3">
        <v>1</v>
      </c>
      <c r="G141" s="41">
        <v>0</v>
      </c>
      <c r="H141" s="42">
        <v>0</v>
      </c>
      <c r="I141" s="2" t="s">
        <v>60</v>
      </c>
      <c r="J141" s="44"/>
      <c r="K141" s="2" t="s">
        <v>93</v>
      </c>
      <c r="L141" s="4" t="s">
        <v>48</v>
      </c>
      <c r="M141" s="2" t="s">
        <v>94</v>
      </c>
    </row>
    <row r="142" spans="1:13" ht="15.75" customHeight="1" x14ac:dyDescent="0.25">
      <c r="A142" s="5" t="s">
        <v>153</v>
      </c>
      <c r="B142" s="6" t="s">
        <v>49</v>
      </c>
      <c r="C142" s="38">
        <v>45791</v>
      </c>
      <c r="D142" s="5" t="s">
        <v>149</v>
      </c>
      <c r="E142" s="5" t="s">
        <v>45</v>
      </c>
      <c r="F142" s="6">
        <v>3</v>
      </c>
      <c r="G142" s="40">
        <v>1</v>
      </c>
      <c r="H142" s="43">
        <v>0.33333333333333298</v>
      </c>
      <c r="I142" s="5" t="s">
        <v>60</v>
      </c>
      <c r="J142" s="44"/>
      <c r="K142" s="5" t="s">
        <v>155</v>
      </c>
      <c r="L142" s="7" t="s">
        <v>62</v>
      </c>
      <c r="M142" s="5" t="s">
        <v>94</v>
      </c>
    </row>
    <row r="143" spans="1:13" ht="15.75" customHeight="1" x14ac:dyDescent="0.25">
      <c r="A143" s="2" t="s">
        <v>42</v>
      </c>
      <c r="B143" s="3" t="s">
        <v>43</v>
      </c>
      <c r="C143" s="37">
        <v>45792</v>
      </c>
      <c r="D143" s="2" t="s">
        <v>58</v>
      </c>
      <c r="E143" s="2" t="s">
        <v>156</v>
      </c>
      <c r="F143" s="3">
        <v>30</v>
      </c>
      <c r="G143" s="41">
        <v>7</v>
      </c>
      <c r="H143" s="42">
        <v>0.233333333333333</v>
      </c>
      <c r="I143" s="2" t="s">
        <v>55</v>
      </c>
      <c r="J143" s="44"/>
      <c r="K143" s="2" t="s">
        <v>47</v>
      </c>
      <c r="L143" s="4" t="s">
        <v>48</v>
      </c>
      <c r="M143" s="2" t="s">
        <v>56</v>
      </c>
    </row>
    <row r="144" spans="1:13" ht="15.75" customHeight="1" x14ac:dyDescent="0.25">
      <c r="A144" s="5" t="s">
        <v>42</v>
      </c>
      <c r="B144" s="6" t="s">
        <v>43</v>
      </c>
      <c r="C144" s="38">
        <v>45792</v>
      </c>
      <c r="D144" s="5" t="s">
        <v>77</v>
      </c>
      <c r="E144" s="5" t="s">
        <v>76</v>
      </c>
      <c r="F144" s="6">
        <v>3540</v>
      </c>
      <c r="G144" s="40">
        <v>25</v>
      </c>
      <c r="H144" s="43">
        <v>7.0621468926553698E-3</v>
      </c>
      <c r="I144" s="5" t="s">
        <v>55</v>
      </c>
      <c r="J144" s="44"/>
      <c r="K144" s="5" t="s">
        <v>47</v>
      </c>
      <c r="L144" s="4" t="s">
        <v>48</v>
      </c>
      <c r="M144" s="5" t="s">
        <v>56</v>
      </c>
    </row>
    <row r="145" spans="1:13" ht="15.75" customHeight="1" x14ac:dyDescent="0.25">
      <c r="A145" s="2" t="s">
        <v>42</v>
      </c>
      <c r="B145" s="3" t="s">
        <v>43</v>
      </c>
      <c r="C145" s="37">
        <v>45792</v>
      </c>
      <c r="D145" s="2" t="s">
        <v>92</v>
      </c>
      <c r="E145" s="2" t="s">
        <v>45</v>
      </c>
      <c r="F145" s="3">
        <v>3</v>
      </c>
      <c r="G145" s="41">
        <v>1</v>
      </c>
      <c r="H145" s="42">
        <v>0.33333333333333298</v>
      </c>
      <c r="I145" s="2" t="s">
        <v>57</v>
      </c>
      <c r="J145" s="44"/>
      <c r="K145" s="2" t="s">
        <v>47</v>
      </c>
      <c r="L145" s="4" t="s">
        <v>48</v>
      </c>
      <c r="M145" s="2" t="s">
        <v>87</v>
      </c>
    </row>
    <row r="146" spans="1:13" ht="15.75" customHeight="1" x14ac:dyDescent="0.25">
      <c r="A146" s="5" t="s">
        <v>42</v>
      </c>
      <c r="B146" s="6" t="s">
        <v>43</v>
      </c>
      <c r="C146" s="38">
        <v>45793</v>
      </c>
      <c r="D146" s="5" t="s">
        <v>149</v>
      </c>
      <c r="E146" s="5" t="s">
        <v>45</v>
      </c>
      <c r="F146" s="6">
        <v>8</v>
      </c>
      <c r="G146" s="40">
        <v>3</v>
      </c>
      <c r="H146" s="43">
        <v>0.375</v>
      </c>
      <c r="I146" s="5" t="s">
        <v>57</v>
      </c>
      <c r="J146" s="44"/>
      <c r="K146" s="5" t="s">
        <v>47</v>
      </c>
      <c r="L146" s="4" t="s">
        <v>48</v>
      </c>
      <c r="M146" s="5" t="s">
        <v>56</v>
      </c>
    </row>
    <row r="147" spans="1:13" ht="15.75" customHeight="1" x14ac:dyDescent="0.25">
      <c r="A147" s="2" t="s">
        <v>42</v>
      </c>
      <c r="B147" s="3" t="s">
        <v>43</v>
      </c>
      <c r="C147" s="37">
        <v>45793</v>
      </c>
      <c r="D147" s="2" t="s">
        <v>58</v>
      </c>
      <c r="E147" s="2" t="s">
        <v>156</v>
      </c>
      <c r="F147" s="3">
        <v>30</v>
      </c>
      <c r="G147" s="41">
        <v>7</v>
      </c>
      <c r="H147" s="42">
        <v>0.233333333333333</v>
      </c>
      <c r="I147" s="2" t="s">
        <v>60</v>
      </c>
      <c r="J147" s="44"/>
      <c r="K147" s="2" t="s">
        <v>47</v>
      </c>
      <c r="L147" s="4" t="s">
        <v>48</v>
      </c>
      <c r="M147" s="2" t="s">
        <v>56</v>
      </c>
    </row>
    <row r="148" spans="1:13" ht="15.75" customHeight="1" x14ac:dyDescent="0.25">
      <c r="A148" s="5" t="s">
        <v>42</v>
      </c>
      <c r="B148" s="6" t="s">
        <v>43</v>
      </c>
      <c r="C148" s="38">
        <v>45796</v>
      </c>
      <c r="D148" s="5" t="s">
        <v>121</v>
      </c>
      <c r="E148" s="5" t="s">
        <v>51</v>
      </c>
      <c r="F148" s="6">
        <v>1</v>
      </c>
      <c r="G148" s="40">
        <v>1</v>
      </c>
      <c r="H148" s="43">
        <v>1</v>
      </c>
      <c r="I148" s="5" t="s">
        <v>57</v>
      </c>
      <c r="J148" s="44"/>
      <c r="K148" s="5" t="s">
        <v>47</v>
      </c>
      <c r="L148" s="4" t="s">
        <v>48</v>
      </c>
      <c r="M148" s="5" t="s">
        <v>56</v>
      </c>
    </row>
    <row r="149" spans="1:13" ht="15.75" customHeight="1" x14ac:dyDescent="0.25">
      <c r="A149" s="2" t="s">
        <v>42</v>
      </c>
      <c r="B149" s="3" t="s">
        <v>43</v>
      </c>
      <c r="C149" s="37">
        <v>45797</v>
      </c>
      <c r="D149" s="2" t="s">
        <v>121</v>
      </c>
      <c r="E149" s="2" t="s">
        <v>51</v>
      </c>
      <c r="F149" s="3">
        <v>1</v>
      </c>
      <c r="G149" s="41">
        <v>1</v>
      </c>
      <c r="H149" s="42">
        <v>1</v>
      </c>
      <c r="I149" s="2" t="s">
        <v>55</v>
      </c>
      <c r="J149" s="44"/>
      <c r="K149" s="2" t="s">
        <v>47</v>
      </c>
      <c r="L149" s="7" t="s">
        <v>62</v>
      </c>
      <c r="M149" s="2" t="s">
        <v>56</v>
      </c>
    </row>
    <row r="150" spans="1:13" ht="15.75" customHeight="1" x14ac:dyDescent="0.25">
      <c r="A150" s="5" t="s">
        <v>42</v>
      </c>
      <c r="B150" s="6" t="s">
        <v>43</v>
      </c>
      <c r="C150" s="38">
        <v>45797</v>
      </c>
      <c r="D150" s="5" t="s">
        <v>77</v>
      </c>
      <c r="E150" s="5" t="s">
        <v>76</v>
      </c>
      <c r="F150" s="6">
        <v>1619</v>
      </c>
      <c r="G150" s="40">
        <v>12</v>
      </c>
      <c r="H150" s="43">
        <v>7.4119827053736901E-3</v>
      </c>
      <c r="I150" s="5" t="s">
        <v>55</v>
      </c>
      <c r="J150" s="44"/>
      <c r="K150" s="5" t="s">
        <v>47</v>
      </c>
      <c r="L150" s="4" t="s">
        <v>48</v>
      </c>
      <c r="M150" s="5" t="s">
        <v>131</v>
      </c>
    </row>
    <row r="151" spans="1:13" ht="15.75" customHeight="1" x14ac:dyDescent="0.25">
      <c r="A151" s="2" t="s">
        <v>42</v>
      </c>
      <c r="B151" s="3" t="s">
        <v>43</v>
      </c>
      <c r="C151" s="37">
        <v>45798</v>
      </c>
      <c r="D151" s="2" t="s">
        <v>157</v>
      </c>
      <c r="E151" s="2" t="s">
        <v>45</v>
      </c>
      <c r="F151" s="3">
        <v>5</v>
      </c>
      <c r="G151" s="41">
        <v>2</v>
      </c>
      <c r="H151" s="42">
        <v>0.4</v>
      </c>
      <c r="I151" s="2" t="s">
        <v>52</v>
      </c>
      <c r="J151" s="44" t="s">
        <v>53</v>
      </c>
      <c r="K151" s="2" t="s">
        <v>47</v>
      </c>
      <c r="L151" s="4" t="s">
        <v>48</v>
      </c>
      <c r="M151" s="2" t="s">
        <v>158</v>
      </c>
    </row>
    <row r="152" spans="1:13" ht="15.75" customHeight="1" x14ac:dyDescent="0.25">
      <c r="A152" s="5" t="s">
        <v>42</v>
      </c>
      <c r="B152" s="6" t="s">
        <v>49</v>
      </c>
      <c r="C152" s="38">
        <v>45798</v>
      </c>
      <c r="D152" s="5" t="s">
        <v>50</v>
      </c>
      <c r="E152" s="5" t="s">
        <v>51</v>
      </c>
      <c r="F152" s="6">
        <v>2</v>
      </c>
      <c r="G152" s="40">
        <v>1</v>
      </c>
      <c r="H152" s="43">
        <v>0.5</v>
      </c>
      <c r="I152" s="5" t="s">
        <v>55</v>
      </c>
      <c r="J152" s="44"/>
      <c r="K152" s="5" t="s">
        <v>47</v>
      </c>
      <c r="L152" s="4" t="s">
        <v>48</v>
      </c>
      <c r="M152" s="5" t="s">
        <v>158</v>
      </c>
    </row>
    <row r="153" spans="1:13" ht="15.75" customHeight="1" x14ac:dyDescent="0.25">
      <c r="A153" s="2" t="s">
        <v>42</v>
      </c>
      <c r="B153" s="3" t="s">
        <v>49</v>
      </c>
      <c r="C153" s="37">
        <v>45798</v>
      </c>
      <c r="D153" s="2" t="s">
        <v>121</v>
      </c>
      <c r="E153" s="2" t="s">
        <v>51</v>
      </c>
      <c r="F153" s="3">
        <v>2</v>
      </c>
      <c r="G153" s="41">
        <v>1</v>
      </c>
      <c r="H153" s="42">
        <v>0.5</v>
      </c>
      <c r="I153" s="2" t="s">
        <v>55</v>
      </c>
      <c r="J153" s="44"/>
      <c r="K153" s="2" t="s">
        <v>47</v>
      </c>
      <c r="L153" s="4" t="s">
        <v>48</v>
      </c>
      <c r="M153" s="2" t="s">
        <v>158</v>
      </c>
    </row>
    <row r="154" spans="1:13" ht="15.75" customHeight="1" x14ac:dyDescent="0.25">
      <c r="A154" s="5" t="s">
        <v>42</v>
      </c>
      <c r="B154" s="6" t="s">
        <v>101</v>
      </c>
      <c r="C154" s="38">
        <v>45799</v>
      </c>
      <c r="D154" s="5" t="s">
        <v>159</v>
      </c>
      <c r="E154" s="5" t="s">
        <v>160</v>
      </c>
      <c r="F154" s="6">
        <v>100</v>
      </c>
      <c r="G154" s="40">
        <v>35</v>
      </c>
      <c r="H154" s="43">
        <v>0.35</v>
      </c>
      <c r="I154" s="5" t="s">
        <v>60</v>
      </c>
      <c r="J154" s="44"/>
      <c r="K154" s="5" t="s">
        <v>47</v>
      </c>
      <c r="L154" s="4" t="s">
        <v>48</v>
      </c>
      <c r="M154" s="5" t="s">
        <v>158</v>
      </c>
    </row>
    <row r="155" spans="1:13" ht="15.75" customHeight="1" x14ac:dyDescent="0.25">
      <c r="A155" s="2" t="s">
        <v>42</v>
      </c>
      <c r="B155" s="3" t="s">
        <v>49</v>
      </c>
      <c r="C155" s="37">
        <v>45799</v>
      </c>
      <c r="D155" s="2" t="s">
        <v>73</v>
      </c>
      <c r="E155" s="2" t="s">
        <v>45</v>
      </c>
      <c r="F155" s="3">
        <v>3</v>
      </c>
      <c r="G155" s="41">
        <v>2</v>
      </c>
      <c r="H155" s="42">
        <v>0.66666666666666696</v>
      </c>
      <c r="I155" s="2" t="s">
        <v>55</v>
      </c>
      <c r="J155" s="44"/>
      <c r="K155" s="2" t="s">
        <v>47</v>
      </c>
      <c r="L155" s="4" t="s">
        <v>48</v>
      </c>
      <c r="M155" s="2" t="s">
        <v>56</v>
      </c>
    </row>
    <row r="156" spans="1:13" ht="15.75" customHeight="1" x14ac:dyDescent="0.25">
      <c r="A156" s="5" t="s">
        <v>42</v>
      </c>
      <c r="B156" s="6" t="s">
        <v>43</v>
      </c>
      <c r="C156" s="38">
        <v>45799</v>
      </c>
      <c r="D156" s="5" t="s">
        <v>88</v>
      </c>
      <c r="E156" s="5" t="s">
        <v>89</v>
      </c>
      <c r="F156" s="6">
        <v>15</v>
      </c>
      <c r="G156" s="40">
        <v>2</v>
      </c>
      <c r="H156" s="43">
        <v>0.133333333333333</v>
      </c>
      <c r="I156" s="5" t="s">
        <v>52</v>
      </c>
      <c r="J156" s="44" t="s">
        <v>53</v>
      </c>
      <c r="K156" s="5" t="s">
        <v>47</v>
      </c>
      <c r="L156" s="4" t="s">
        <v>48</v>
      </c>
      <c r="M156" s="5" t="s">
        <v>56</v>
      </c>
    </row>
    <row r="157" spans="1:13" ht="15.75" customHeight="1" x14ac:dyDescent="0.25">
      <c r="A157" s="2" t="s">
        <v>42</v>
      </c>
      <c r="B157" s="3" t="s">
        <v>43</v>
      </c>
      <c r="C157" s="37">
        <v>45803</v>
      </c>
      <c r="D157" s="2" t="s">
        <v>88</v>
      </c>
      <c r="E157" s="2" t="s">
        <v>89</v>
      </c>
      <c r="F157" s="3">
        <v>18</v>
      </c>
      <c r="G157" s="41">
        <v>1</v>
      </c>
      <c r="H157" s="42">
        <v>5.5555555555555601E-2</v>
      </c>
      <c r="I157" s="2" t="s">
        <v>55</v>
      </c>
      <c r="J157" s="44"/>
      <c r="K157" s="2" t="s">
        <v>47</v>
      </c>
      <c r="L157" s="4" t="s">
        <v>48</v>
      </c>
      <c r="M157" s="2" t="s">
        <v>56</v>
      </c>
    </row>
    <row r="158" spans="1:13" ht="15.75" customHeight="1" x14ac:dyDescent="0.25">
      <c r="A158" s="5" t="s">
        <v>42</v>
      </c>
      <c r="B158" s="6" t="s">
        <v>101</v>
      </c>
      <c r="C158" s="38">
        <v>45803</v>
      </c>
      <c r="D158" s="5" t="s">
        <v>159</v>
      </c>
      <c r="E158" s="5" t="s">
        <v>160</v>
      </c>
      <c r="F158" s="6">
        <v>75</v>
      </c>
      <c r="G158" s="40">
        <v>4</v>
      </c>
      <c r="H158" s="43">
        <v>5.3333333333333302E-2</v>
      </c>
      <c r="I158" s="5" t="s">
        <v>52</v>
      </c>
      <c r="J158" s="44" t="s">
        <v>53</v>
      </c>
      <c r="K158" s="5" t="s">
        <v>47</v>
      </c>
      <c r="L158" s="4" t="s">
        <v>48</v>
      </c>
      <c r="M158" s="5" t="s">
        <v>158</v>
      </c>
    </row>
    <row r="159" spans="1:13" ht="15.75" customHeight="1" x14ac:dyDescent="0.25">
      <c r="A159" s="2" t="s">
        <v>42</v>
      </c>
      <c r="B159" s="3" t="s">
        <v>49</v>
      </c>
      <c r="C159" s="37">
        <v>45803</v>
      </c>
      <c r="D159" s="2" t="s">
        <v>73</v>
      </c>
      <c r="E159" s="2" t="s">
        <v>45</v>
      </c>
      <c r="F159" s="3">
        <v>5</v>
      </c>
      <c r="G159" s="41">
        <v>2</v>
      </c>
      <c r="H159" s="42">
        <v>0.4</v>
      </c>
      <c r="I159" s="2" t="s">
        <v>55</v>
      </c>
      <c r="J159" s="44"/>
      <c r="K159" s="2" t="s">
        <v>47</v>
      </c>
      <c r="L159" s="7" t="s">
        <v>62</v>
      </c>
      <c r="M159" s="2" t="s">
        <v>56</v>
      </c>
    </row>
    <row r="160" spans="1:13" ht="15.75" customHeight="1" x14ac:dyDescent="0.25">
      <c r="A160" s="5" t="s">
        <v>42</v>
      </c>
      <c r="B160" s="6" t="s">
        <v>43</v>
      </c>
      <c r="C160" s="38">
        <v>45803</v>
      </c>
      <c r="D160" s="5" t="s">
        <v>58</v>
      </c>
      <c r="E160" s="5" t="s">
        <v>156</v>
      </c>
      <c r="F160" s="6">
        <v>52</v>
      </c>
      <c r="G160" s="40">
        <v>18</v>
      </c>
      <c r="H160" s="43">
        <v>0.34615384615384598</v>
      </c>
      <c r="I160" s="5" t="s">
        <v>60</v>
      </c>
      <c r="J160" s="44"/>
      <c r="K160" s="5" t="s">
        <v>47</v>
      </c>
      <c r="L160" s="4" t="s">
        <v>48</v>
      </c>
      <c r="M160" s="5"/>
    </row>
    <row r="161" spans="1:13" ht="15.75" customHeight="1" x14ac:dyDescent="0.25">
      <c r="A161" s="2" t="s">
        <v>42</v>
      </c>
      <c r="B161" s="3" t="s">
        <v>43</v>
      </c>
      <c r="C161" s="37">
        <v>45803</v>
      </c>
      <c r="D161" s="2" t="s">
        <v>68</v>
      </c>
      <c r="E161" s="2" t="s">
        <v>161</v>
      </c>
      <c r="F161" s="3">
        <v>80</v>
      </c>
      <c r="G161" s="41">
        <v>23</v>
      </c>
      <c r="H161" s="42">
        <v>0.28749999999999998</v>
      </c>
      <c r="I161" s="2" t="s">
        <v>60</v>
      </c>
      <c r="J161" s="44"/>
      <c r="K161" s="2" t="s">
        <v>47</v>
      </c>
      <c r="L161" s="4" t="s">
        <v>48</v>
      </c>
      <c r="M161" s="2"/>
    </row>
    <row r="162" spans="1:13" ht="15.75" customHeight="1" x14ac:dyDescent="0.25">
      <c r="A162" s="5" t="s">
        <v>42</v>
      </c>
      <c r="B162" s="6" t="s">
        <v>49</v>
      </c>
      <c r="C162" s="38">
        <v>45804</v>
      </c>
      <c r="D162" s="5" t="s">
        <v>73</v>
      </c>
      <c r="E162" s="5" t="s">
        <v>45</v>
      </c>
      <c r="F162" s="6">
        <v>8</v>
      </c>
      <c r="G162" s="40">
        <v>2</v>
      </c>
      <c r="H162" s="43">
        <v>0.25</v>
      </c>
      <c r="I162" s="5" t="s">
        <v>55</v>
      </c>
      <c r="J162" s="44"/>
      <c r="K162" s="5" t="s">
        <v>47</v>
      </c>
      <c r="L162" s="4" t="s">
        <v>48</v>
      </c>
      <c r="M162" s="5" t="s">
        <v>162</v>
      </c>
    </row>
    <row r="163" spans="1:13" ht="15.75" customHeight="1" x14ac:dyDescent="0.25">
      <c r="A163" s="2" t="s">
        <v>42</v>
      </c>
      <c r="B163" s="3" t="s">
        <v>43</v>
      </c>
      <c r="C163" s="37">
        <v>45804</v>
      </c>
      <c r="D163" s="2" t="s">
        <v>163</v>
      </c>
      <c r="E163" s="2" t="s">
        <v>96</v>
      </c>
      <c r="F163" s="3">
        <v>320</v>
      </c>
      <c r="G163" s="41">
        <v>63</v>
      </c>
      <c r="H163" s="42">
        <v>0.19687499999999999</v>
      </c>
      <c r="I163" s="2" t="s">
        <v>60</v>
      </c>
      <c r="J163" s="44"/>
      <c r="K163" s="2" t="s">
        <v>47</v>
      </c>
      <c r="L163" s="4" t="s">
        <v>48</v>
      </c>
      <c r="M163" s="2"/>
    </row>
    <row r="164" spans="1:13" ht="15.75" customHeight="1" x14ac:dyDescent="0.25">
      <c r="A164" s="5" t="s">
        <v>42</v>
      </c>
      <c r="B164" s="6" t="s">
        <v>43</v>
      </c>
      <c r="C164" s="38">
        <v>45804</v>
      </c>
      <c r="D164" s="5" t="s">
        <v>77</v>
      </c>
      <c r="E164" s="5" t="s">
        <v>76</v>
      </c>
      <c r="F164" s="6">
        <v>489</v>
      </c>
      <c r="G164" s="40">
        <v>10</v>
      </c>
      <c r="H164" s="43">
        <v>2.0449897750511301E-2</v>
      </c>
      <c r="I164" s="5" t="s">
        <v>55</v>
      </c>
      <c r="J164" s="44"/>
      <c r="K164" s="5" t="s">
        <v>47</v>
      </c>
      <c r="L164" s="4" t="s">
        <v>48</v>
      </c>
      <c r="M164" s="5" t="s">
        <v>131</v>
      </c>
    </row>
    <row r="165" spans="1:13" ht="15.75" customHeight="1" x14ac:dyDescent="0.25">
      <c r="A165" s="2" t="s">
        <v>42</v>
      </c>
      <c r="B165" s="3" t="s">
        <v>132</v>
      </c>
      <c r="C165" s="37">
        <v>45804</v>
      </c>
      <c r="D165" s="2" t="s">
        <v>164</v>
      </c>
      <c r="E165" s="2" t="s">
        <v>119</v>
      </c>
      <c r="F165" s="3">
        <v>5</v>
      </c>
      <c r="G165" s="41">
        <v>1</v>
      </c>
      <c r="H165" s="42">
        <v>0.2</v>
      </c>
      <c r="I165" s="2" t="s">
        <v>55</v>
      </c>
      <c r="J165" s="44"/>
      <c r="K165" s="2" t="s">
        <v>47</v>
      </c>
      <c r="L165" s="4" t="s">
        <v>48</v>
      </c>
      <c r="M165" s="2" t="s">
        <v>162</v>
      </c>
    </row>
    <row r="166" spans="1:13" ht="15.75" customHeight="1" x14ac:dyDescent="0.25">
      <c r="A166" s="5" t="s">
        <v>42</v>
      </c>
      <c r="B166" s="6" t="s">
        <v>101</v>
      </c>
      <c r="C166" s="38">
        <v>45805</v>
      </c>
      <c r="D166" s="5" t="s">
        <v>159</v>
      </c>
      <c r="E166" s="5" t="s">
        <v>160</v>
      </c>
      <c r="F166" s="6">
        <v>75</v>
      </c>
      <c r="G166" s="40">
        <v>4</v>
      </c>
      <c r="H166" s="43">
        <v>5.3333333333333302E-2</v>
      </c>
      <c r="I166" s="5" t="s">
        <v>52</v>
      </c>
      <c r="J166" s="44" t="s">
        <v>53</v>
      </c>
      <c r="K166" s="5" t="s">
        <v>47</v>
      </c>
      <c r="L166" s="4" t="s">
        <v>48</v>
      </c>
      <c r="M166" s="5"/>
    </row>
    <row r="167" spans="1:13" ht="15.75" customHeight="1" x14ac:dyDescent="0.25">
      <c r="A167" s="2" t="s">
        <v>42</v>
      </c>
      <c r="B167" s="3" t="s">
        <v>132</v>
      </c>
      <c r="C167" s="37">
        <v>45805</v>
      </c>
      <c r="D167" s="2" t="s">
        <v>164</v>
      </c>
      <c r="E167" s="2" t="s">
        <v>119</v>
      </c>
      <c r="F167" s="3">
        <v>8</v>
      </c>
      <c r="G167" s="41">
        <v>3</v>
      </c>
      <c r="H167" s="42">
        <v>0.375</v>
      </c>
      <c r="I167" s="2" t="s">
        <v>55</v>
      </c>
      <c r="J167" s="44"/>
      <c r="K167" s="2" t="s">
        <v>47</v>
      </c>
      <c r="L167" s="4" t="s">
        <v>48</v>
      </c>
      <c r="M167" s="2"/>
    </row>
    <row r="168" spans="1:13" ht="15.75" customHeight="1" x14ac:dyDescent="0.25">
      <c r="A168" s="5" t="s">
        <v>42</v>
      </c>
      <c r="B168" s="6" t="s">
        <v>43</v>
      </c>
      <c r="C168" s="38">
        <v>45805</v>
      </c>
      <c r="D168" s="5" t="s">
        <v>165</v>
      </c>
      <c r="E168" s="5" t="s">
        <v>166</v>
      </c>
      <c r="F168" s="6">
        <v>3</v>
      </c>
      <c r="G168" s="40">
        <v>3</v>
      </c>
      <c r="H168" s="43">
        <v>1</v>
      </c>
      <c r="I168" s="5" t="s">
        <v>57</v>
      </c>
      <c r="J168" s="44"/>
      <c r="K168" s="5" t="s">
        <v>47</v>
      </c>
      <c r="L168" s="4" t="s">
        <v>48</v>
      </c>
      <c r="M168" s="5"/>
    </row>
    <row r="169" spans="1:13" ht="15.75" customHeight="1" x14ac:dyDescent="0.25">
      <c r="A169" s="2" t="s">
        <v>42</v>
      </c>
      <c r="B169" s="3" t="s">
        <v>43</v>
      </c>
      <c r="C169" s="37">
        <v>45805</v>
      </c>
      <c r="D169" s="2" t="s">
        <v>124</v>
      </c>
      <c r="E169" s="2" t="s">
        <v>167</v>
      </c>
      <c r="F169" s="3">
        <v>320</v>
      </c>
      <c r="G169" s="41">
        <v>80</v>
      </c>
      <c r="H169" s="42">
        <v>0.25</v>
      </c>
      <c r="I169" s="2"/>
      <c r="J169" s="44" t="s">
        <v>53</v>
      </c>
      <c r="K169" s="2" t="s">
        <v>168</v>
      </c>
      <c r="L169" s="4" t="s">
        <v>48</v>
      </c>
      <c r="M169" s="2"/>
    </row>
    <row r="170" spans="1:13" ht="15.75" customHeight="1" x14ac:dyDescent="0.25">
      <c r="A170" s="5" t="s">
        <v>42</v>
      </c>
      <c r="B170" s="6" t="s">
        <v>43</v>
      </c>
      <c r="C170" s="38">
        <v>45805</v>
      </c>
      <c r="D170" s="5" t="s">
        <v>149</v>
      </c>
      <c r="E170" s="5" t="s">
        <v>45</v>
      </c>
      <c r="F170" s="6">
        <v>3</v>
      </c>
      <c r="G170" s="40">
        <v>2</v>
      </c>
      <c r="H170" s="43">
        <v>0.66666666666666696</v>
      </c>
      <c r="I170" s="5" t="s">
        <v>57</v>
      </c>
      <c r="J170" s="44"/>
      <c r="K170" s="5" t="s">
        <v>47</v>
      </c>
      <c r="L170" s="4" t="s">
        <v>48</v>
      </c>
      <c r="M170" s="5"/>
    </row>
    <row r="171" spans="1:13" ht="15.75" customHeight="1" x14ac:dyDescent="0.25">
      <c r="A171" s="2" t="s">
        <v>42</v>
      </c>
      <c r="B171" s="3" t="s">
        <v>49</v>
      </c>
      <c r="C171" s="37">
        <v>45805</v>
      </c>
      <c r="D171" s="2" t="s">
        <v>73</v>
      </c>
      <c r="E171" s="2" t="s">
        <v>45</v>
      </c>
      <c r="F171" s="3">
        <v>3</v>
      </c>
      <c r="G171" s="41">
        <v>1</v>
      </c>
      <c r="H171" s="42">
        <v>0.33333333333333298</v>
      </c>
      <c r="I171" s="2" t="s">
        <v>55</v>
      </c>
      <c r="J171" s="44"/>
      <c r="K171" s="2" t="s">
        <v>47</v>
      </c>
      <c r="L171" s="4" t="s">
        <v>48</v>
      </c>
      <c r="M171" s="2"/>
    </row>
    <row r="172" spans="1:13" ht="15.75" customHeight="1" x14ac:dyDescent="0.25">
      <c r="A172" s="5" t="s">
        <v>42</v>
      </c>
      <c r="B172" s="6" t="s">
        <v>49</v>
      </c>
      <c r="C172" s="38">
        <v>45806</v>
      </c>
      <c r="D172" s="5" t="s">
        <v>73</v>
      </c>
      <c r="E172" s="5" t="s">
        <v>45</v>
      </c>
      <c r="F172" s="6">
        <v>15</v>
      </c>
      <c r="G172" s="40">
        <v>3</v>
      </c>
      <c r="H172" s="43">
        <v>0.2</v>
      </c>
      <c r="I172" s="5" t="s">
        <v>55</v>
      </c>
      <c r="J172" s="44"/>
      <c r="K172" s="5" t="s">
        <v>47</v>
      </c>
      <c r="L172" s="4" t="s">
        <v>48</v>
      </c>
      <c r="M172" s="5" t="s">
        <v>162</v>
      </c>
    </row>
    <row r="173" spans="1:13" ht="15.75" customHeight="1" x14ac:dyDescent="0.25">
      <c r="A173" s="2" t="s">
        <v>42</v>
      </c>
      <c r="B173" s="3" t="s">
        <v>43</v>
      </c>
      <c r="C173" s="37">
        <v>45806</v>
      </c>
      <c r="D173" s="2" t="s">
        <v>165</v>
      </c>
      <c r="E173" s="2" t="s">
        <v>166</v>
      </c>
      <c r="F173" s="3">
        <v>20</v>
      </c>
      <c r="G173" s="41">
        <v>3</v>
      </c>
      <c r="H173" s="42">
        <v>0.15</v>
      </c>
      <c r="I173" s="2" t="s">
        <v>57</v>
      </c>
      <c r="J173" s="44"/>
      <c r="K173" s="2" t="s">
        <v>47</v>
      </c>
      <c r="L173" s="4" t="s">
        <v>48</v>
      </c>
      <c r="M173" s="2" t="s">
        <v>162</v>
      </c>
    </row>
    <row r="174" spans="1:13" ht="15.75" customHeight="1" x14ac:dyDescent="0.25">
      <c r="A174" s="5" t="s">
        <v>42</v>
      </c>
      <c r="B174" s="6" t="s">
        <v>43</v>
      </c>
      <c r="C174" s="38">
        <v>45806</v>
      </c>
      <c r="D174" s="5" t="s">
        <v>124</v>
      </c>
      <c r="E174" s="5" t="s">
        <v>167</v>
      </c>
      <c r="F174" s="6">
        <v>200</v>
      </c>
      <c r="G174" s="40">
        <v>49</v>
      </c>
      <c r="H174" s="43">
        <v>0.245</v>
      </c>
      <c r="I174" s="5" t="s">
        <v>60</v>
      </c>
      <c r="J174" s="44"/>
      <c r="K174" s="5" t="s">
        <v>15</v>
      </c>
      <c r="L174" s="4" t="s">
        <v>48</v>
      </c>
      <c r="M174" s="5"/>
    </row>
    <row r="175" spans="1:13" ht="15.75" customHeight="1" x14ac:dyDescent="0.25">
      <c r="A175" s="2" t="s">
        <v>42</v>
      </c>
      <c r="B175" s="3" t="s">
        <v>132</v>
      </c>
      <c r="C175" s="37">
        <v>45806</v>
      </c>
      <c r="D175" s="2" t="s">
        <v>164</v>
      </c>
      <c r="E175" s="2" t="s">
        <v>119</v>
      </c>
      <c r="F175" s="3">
        <v>9</v>
      </c>
      <c r="G175" s="41">
        <v>2</v>
      </c>
      <c r="H175" s="42">
        <v>0.22222222222222199</v>
      </c>
      <c r="I175" s="2" t="s">
        <v>55</v>
      </c>
      <c r="J175" s="44"/>
      <c r="K175" s="2" t="s">
        <v>47</v>
      </c>
      <c r="L175" s="4" t="s">
        <v>48</v>
      </c>
      <c r="M175" s="2"/>
    </row>
    <row r="176" spans="1:13" ht="15.75" customHeight="1" x14ac:dyDescent="0.25">
      <c r="A176" s="5" t="s">
        <v>42</v>
      </c>
      <c r="B176" s="6" t="s">
        <v>49</v>
      </c>
      <c r="C176" s="38">
        <v>45807</v>
      </c>
      <c r="D176" s="5" t="s">
        <v>50</v>
      </c>
      <c r="E176" s="5" t="s">
        <v>51</v>
      </c>
      <c r="F176" s="6">
        <v>4</v>
      </c>
      <c r="G176" s="40">
        <v>1</v>
      </c>
      <c r="H176" s="43">
        <v>0.25</v>
      </c>
      <c r="I176" s="5" t="s">
        <v>60</v>
      </c>
      <c r="J176" s="44"/>
      <c r="K176" s="5" t="s">
        <v>47</v>
      </c>
      <c r="L176" s="4" t="s">
        <v>48</v>
      </c>
      <c r="M176" s="5"/>
    </row>
    <row r="177" spans="1:13" ht="15.75" customHeight="1" x14ac:dyDescent="0.25">
      <c r="A177" s="2" t="s">
        <v>42</v>
      </c>
      <c r="B177" s="3" t="s">
        <v>43</v>
      </c>
      <c r="C177" s="37">
        <v>45807</v>
      </c>
      <c r="D177" s="2" t="s">
        <v>165</v>
      </c>
      <c r="E177" s="2" t="s">
        <v>166</v>
      </c>
      <c r="F177" s="3">
        <v>15</v>
      </c>
      <c r="G177" s="41">
        <v>0</v>
      </c>
      <c r="H177" s="42">
        <v>0</v>
      </c>
      <c r="I177" s="2"/>
      <c r="J177" s="44"/>
      <c r="K177" s="2" t="s">
        <v>168</v>
      </c>
      <c r="L177" s="4" t="s">
        <v>48</v>
      </c>
      <c r="M177" s="2" t="s">
        <v>162</v>
      </c>
    </row>
    <row r="178" spans="1:13" ht="15.75" customHeight="1" x14ac:dyDescent="0.25">
      <c r="A178" s="5" t="s">
        <v>42</v>
      </c>
      <c r="B178" s="6" t="s">
        <v>43</v>
      </c>
      <c r="C178" s="38">
        <v>45807</v>
      </c>
      <c r="D178" s="5" t="s">
        <v>169</v>
      </c>
      <c r="E178" s="5" t="s">
        <v>170</v>
      </c>
      <c r="F178" s="6">
        <v>2</v>
      </c>
      <c r="G178" s="40">
        <v>2</v>
      </c>
      <c r="H178" s="43">
        <v>1</v>
      </c>
      <c r="I178" s="5" t="s">
        <v>52</v>
      </c>
      <c r="J178" s="44" t="s">
        <v>53</v>
      </c>
      <c r="K178" s="5" t="s">
        <v>47</v>
      </c>
      <c r="L178" s="4" t="s">
        <v>48</v>
      </c>
      <c r="M178" s="5" t="s">
        <v>162</v>
      </c>
    </row>
    <row r="179" spans="1:13" ht="15.75" customHeight="1" x14ac:dyDescent="0.25">
      <c r="A179" s="2" t="s">
        <v>42</v>
      </c>
      <c r="B179" s="3" t="s">
        <v>43</v>
      </c>
      <c r="C179" s="37">
        <v>45810</v>
      </c>
      <c r="D179" s="2" t="s">
        <v>171</v>
      </c>
      <c r="E179" s="2" t="s">
        <v>172</v>
      </c>
      <c r="F179" s="3">
        <v>25</v>
      </c>
      <c r="G179" s="41">
        <v>25</v>
      </c>
      <c r="H179" s="42">
        <v>1</v>
      </c>
      <c r="I179" s="2" t="s">
        <v>70</v>
      </c>
      <c r="J179" s="44" t="s">
        <v>53</v>
      </c>
      <c r="K179" s="2" t="s">
        <v>47</v>
      </c>
      <c r="L179" s="4" t="s">
        <v>48</v>
      </c>
      <c r="M179" s="2" t="s">
        <v>162</v>
      </c>
    </row>
    <row r="180" spans="1:13" ht="15.75" customHeight="1" x14ac:dyDescent="0.25">
      <c r="A180" s="5" t="s">
        <v>42</v>
      </c>
      <c r="B180" s="6" t="s">
        <v>49</v>
      </c>
      <c r="C180" s="38">
        <v>45810</v>
      </c>
      <c r="D180" s="5" t="s">
        <v>73</v>
      </c>
      <c r="E180" s="5" t="s">
        <v>45</v>
      </c>
      <c r="F180" s="6">
        <v>2</v>
      </c>
      <c r="G180" s="40">
        <v>0</v>
      </c>
      <c r="H180" s="43">
        <v>0</v>
      </c>
      <c r="I180" s="5"/>
      <c r="J180" s="44"/>
      <c r="K180" s="5" t="s">
        <v>168</v>
      </c>
      <c r="L180" s="4" t="s">
        <v>48</v>
      </c>
      <c r="M180" s="5"/>
    </row>
    <row r="181" spans="1:13" ht="15.75" customHeight="1" x14ac:dyDescent="0.25">
      <c r="A181" s="2" t="s">
        <v>42</v>
      </c>
      <c r="B181" s="3" t="s">
        <v>43</v>
      </c>
      <c r="C181" s="37">
        <v>45810</v>
      </c>
      <c r="D181" s="2" t="s">
        <v>88</v>
      </c>
      <c r="E181" s="2" t="s">
        <v>89</v>
      </c>
      <c r="F181" s="3">
        <v>15</v>
      </c>
      <c r="G181" s="41">
        <v>1</v>
      </c>
      <c r="H181" s="42">
        <v>6.6666666666666693E-2</v>
      </c>
      <c r="I181" s="2" t="s">
        <v>55</v>
      </c>
      <c r="J181" s="44"/>
      <c r="K181" s="2" t="s">
        <v>47</v>
      </c>
      <c r="L181" s="4" t="s">
        <v>48</v>
      </c>
      <c r="M181" s="2"/>
    </row>
    <row r="182" spans="1:13" ht="15.75" customHeight="1" x14ac:dyDescent="0.25">
      <c r="A182" s="5" t="s">
        <v>42</v>
      </c>
      <c r="B182" s="6" t="s">
        <v>43</v>
      </c>
      <c r="C182" s="38">
        <v>45810</v>
      </c>
      <c r="D182" s="5" t="s">
        <v>169</v>
      </c>
      <c r="E182" s="5" t="s">
        <v>170</v>
      </c>
      <c r="F182" s="6">
        <v>1</v>
      </c>
      <c r="G182" s="40">
        <v>0</v>
      </c>
      <c r="H182" s="43">
        <v>0</v>
      </c>
      <c r="I182" s="5"/>
      <c r="J182" s="44"/>
      <c r="K182" s="5" t="s">
        <v>168</v>
      </c>
      <c r="L182" s="4" t="s">
        <v>48</v>
      </c>
      <c r="M182" s="5" t="s">
        <v>162</v>
      </c>
    </row>
    <row r="183" spans="1:13" ht="15.75" customHeight="1" x14ac:dyDescent="0.25">
      <c r="A183" s="2" t="s">
        <v>42</v>
      </c>
      <c r="B183" s="3" t="s">
        <v>43</v>
      </c>
      <c r="C183" s="37">
        <v>45811</v>
      </c>
      <c r="D183" s="2" t="s">
        <v>171</v>
      </c>
      <c r="E183" s="2" t="s">
        <v>172</v>
      </c>
      <c r="F183" s="3">
        <v>25</v>
      </c>
      <c r="G183" s="41">
        <v>15</v>
      </c>
      <c r="H183" s="42">
        <v>0.6</v>
      </c>
      <c r="I183" s="2" t="s">
        <v>70</v>
      </c>
      <c r="J183" s="44" t="s">
        <v>53</v>
      </c>
      <c r="K183" s="2" t="s">
        <v>47</v>
      </c>
      <c r="L183" s="4" t="s">
        <v>48</v>
      </c>
      <c r="M183" s="2"/>
    </row>
    <row r="184" spans="1:13" ht="15.75" customHeight="1" x14ac:dyDescent="0.25">
      <c r="A184" s="5" t="s">
        <v>42</v>
      </c>
      <c r="B184" s="6" t="s">
        <v>132</v>
      </c>
      <c r="C184" s="38">
        <v>45811</v>
      </c>
      <c r="D184" s="5" t="s">
        <v>164</v>
      </c>
      <c r="E184" s="5" t="s">
        <v>119</v>
      </c>
      <c r="F184" s="6">
        <v>15</v>
      </c>
      <c r="G184" s="40">
        <v>15</v>
      </c>
      <c r="H184" s="43">
        <v>1</v>
      </c>
      <c r="I184" s="5" t="s">
        <v>55</v>
      </c>
      <c r="J184" s="44"/>
      <c r="K184" s="5" t="s">
        <v>47</v>
      </c>
      <c r="L184" s="4" t="s">
        <v>48</v>
      </c>
      <c r="M184" s="5"/>
    </row>
    <row r="185" spans="1:13" ht="15.75" customHeight="1" x14ac:dyDescent="0.25">
      <c r="A185" s="2" t="s">
        <v>42</v>
      </c>
      <c r="B185" s="3" t="s">
        <v>43</v>
      </c>
      <c r="C185" s="37">
        <v>45811</v>
      </c>
      <c r="D185" s="2" t="s">
        <v>108</v>
      </c>
      <c r="E185" s="2" t="s">
        <v>173</v>
      </c>
      <c r="F185" s="3">
        <v>1250</v>
      </c>
      <c r="G185" s="41">
        <v>315</v>
      </c>
      <c r="H185" s="42">
        <v>0.252</v>
      </c>
      <c r="I185" s="2" t="s">
        <v>52</v>
      </c>
      <c r="J185" s="44" t="s">
        <v>53</v>
      </c>
      <c r="K185" s="2" t="s">
        <v>15</v>
      </c>
      <c r="L185" s="4" t="s">
        <v>48</v>
      </c>
      <c r="M185" s="2" t="s">
        <v>174</v>
      </c>
    </row>
    <row r="186" spans="1:13" ht="15.75" customHeight="1" x14ac:dyDescent="0.25">
      <c r="A186" s="5" t="s">
        <v>42</v>
      </c>
      <c r="B186" s="6" t="s">
        <v>43</v>
      </c>
      <c r="C186" s="38">
        <v>45812</v>
      </c>
      <c r="D186" s="5" t="s">
        <v>171</v>
      </c>
      <c r="E186" s="5" t="s">
        <v>172</v>
      </c>
      <c r="F186" s="6">
        <v>40</v>
      </c>
      <c r="G186" s="40">
        <v>28</v>
      </c>
      <c r="H186" s="43">
        <v>0.7</v>
      </c>
      <c r="I186" s="5" t="s">
        <v>55</v>
      </c>
      <c r="J186" s="44"/>
      <c r="K186" s="5" t="s">
        <v>47</v>
      </c>
      <c r="L186" s="4" t="s">
        <v>48</v>
      </c>
      <c r="M186" s="5" t="s">
        <v>162</v>
      </c>
    </row>
    <row r="187" spans="1:13" ht="15.75" customHeight="1" x14ac:dyDescent="0.25">
      <c r="A187" s="2" t="s">
        <v>42</v>
      </c>
      <c r="B187" s="3" t="s">
        <v>132</v>
      </c>
      <c r="C187" s="37">
        <v>45812</v>
      </c>
      <c r="D187" s="2" t="s">
        <v>164</v>
      </c>
      <c r="E187" s="2" t="s">
        <v>119</v>
      </c>
      <c r="F187" s="3">
        <v>5</v>
      </c>
      <c r="G187" s="41">
        <v>3</v>
      </c>
      <c r="H187" s="42">
        <v>0.6</v>
      </c>
      <c r="I187" s="2" t="s">
        <v>60</v>
      </c>
      <c r="J187" s="44"/>
      <c r="K187" s="2" t="s">
        <v>47</v>
      </c>
      <c r="L187" s="4" t="s">
        <v>48</v>
      </c>
      <c r="M187" s="2" t="s">
        <v>162</v>
      </c>
    </row>
    <row r="188" spans="1:13" ht="15.75" customHeight="1" x14ac:dyDescent="0.25">
      <c r="A188" s="5" t="s">
        <v>42</v>
      </c>
      <c r="B188" s="6" t="s">
        <v>43</v>
      </c>
      <c r="C188" s="38">
        <v>45812</v>
      </c>
      <c r="D188" s="5" t="s">
        <v>77</v>
      </c>
      <c r="E188" s="5" t="s">
        <v>76</v>
      </c>
      <c r="F188" s="6">
        <v>2018</v>
      </c>
      <c r="G188" s="40">
        <v>159</v>
      </c>
      <c r="H188" s="43">
        <v>7.8790882061447007E-2</v>
      </c>
      <c r="I188" s="5" t="s">
        <v>55</v>
      </c>
      <c r="J188" s="44" t="s">
        <v>53</v>
      </c>
      <c r="K188" s="5" t="s">
        <v>47</v>
      </c>
      <c r="L188" s="4" t="s">
        <v>48</v>
      </c>
      <c r="M188" s="5" t="s">
        <v>131</v>
      </c>
    </row>
    <row r="189" spans="1:13" ht="15.75" customHeight="1" x14ac:dyDescent="0.25">
      <c r="A189" s="2" t="s">
        <v>42</v>
      </c>
      <c r="B189" s="3" t="s">
        <v>43</v>
      </c>
      <c r="C189" s="37">
        <v>45813</v>
      </c>
      <c r="D189" s="2" t="s">
        <v>171</v>
      </c>
      <c r="E189" s="2" t="s">
        <v>172</v>
      </c>
      <c r="F189" s="3">
        <v>28</v>
      </c>
      <c r="G189" s="41">
        <v>28</v>
      </c>
      <c r="H189" s="42">
        <v>1</v>
      </c>
      <c r="I189" s="2" t="s">
        <v>55</v>
      </c>
      <c r="J189" s="44" t="s">
        <v>53</v>
      </c>
      <c r="K189" s="2" t="s">
        <v>47</v>
      </c>
      <c r="L189" s="4" t="s">
        <v>48</v>
      </c>
      <c r="M189" s="2" t="s">
        <v>162</v>
      </c>
    </row>
    <row r="190" spans="1:13" ht="15.75" customHeight="1" x14ac:dyDescent="0.25">
      <c r="A190" s="5" t="s">
        <v>42</v>
      </c>
      <c r="B190" s="6" t="s">
        <v>49</v>
      </c>
      <c r="C190" s="38">
        <v>45813</v>
      </c>
      <c r="D190" s="5" t="s">
        <v>73</v>
      </c>
      <c r="E190" s="5" t="s">
        <v>45</v>
      </c>
      <c r="F190" s="6">
        <v>8</v>
      </c>
      <c r="G190" s="40">
        <v>4</v>
      </c>
      <c r="H190" s="43">
        <v>0.5</v>
      </c>
      <c r="I190" s="5" t="s">
        <v>71</v>
      </c>
      <c r="J190" s="44"/>
      <c r="K190" s="5" t="s">
        <v>47</v>
      </c>
      <c r="L190" s="4" t="s">
        <v>48</v>
      </c>
      <c r="M190" s="5"/>
    </row>
    <row r="191" spans="1:13" ht="15.75" customHeight="1" x14ac:dyDescent="0.25">
      <c r="A191" s="2" t="s">
        <v>42</v>
      </c>
      <c r="B191" s="3" t="s">
        <v>49</v>
      </c>
      <c r="C191" s="37">
        <v>45814</v>
      </c>
      <c r="D191" s="2" t="s">
        <v>73</v>
      </c>
      <c r="E191" s="2" t="s">
        <v>45</v>
      </c>
      <c r="F191" s="3">
        <v>15</v>
      </c>
      <c r="G191" s="41">
        <v>5</v>
      </c>
      <c r="H191" s="42">
        <v>0.33333333333333298</v>
      </c>
      <c r="I191" s="2" t="s">
        <v>70</v>
      </c>
      <c r="J191" s="44" t="s">
        <v>53</v>
      </c>
      <c r="K191" s="2" t="s">
        <v>47</v>
      </c>
      <c r="L191" s="4" t="s">
        <v>48</v>
      </c>
      <c r="M191" s="2" t="s">
        <v>162</v>
      </c>
    </row>
    <row r="192" spans="1:13" ht="15.75" customHeight="1" x14ac:dyDescent="0.25">
      <c r="A192" s="5" t="s">
        <v>42</v>
      </c>
      <c r="B192" s="6" t="s">
        <v>43</v>
      </c>
      <c r="C192" s="38">
        <v>45814</v>
      </c>
      <c r="D192" s="5" t="s">
        <v>175</v>
      </c>
      <c r="E192" s="5" t="s">
        <v>45</v>
      </c>
      <c r="F192" s="6">
        <v>3</v>
      </c>
      <c r="G192" s="40">
        <v>2</v>
      </c>
      <c r="H192" s="43">
        <v>0.66666666666666696</v>
      </c>
      <c r="I192" s="5" t="s">
        <v>70</v>
      </c>
      <c r="J192" s="44" t="s">
        <v>53</v>
      </c>
      <c r="K192" s="5" t="s">
        <v>47</v>
      </c>
      <c r="L192" s="4" t="s">
        <v>48</v>
      </c>
      <c r="M192" s="5" t="s">
        <v>162</v>
      </c>
    </row>
    <row r="193" spans="1:13" ht="15.75" customHeight="1" x14ac:dyDescent="0.25">
      <c r="A193" s="2" t="s">
        <v>42</v>
      </c>
      <c r="B193" s="3" t="s">
        <v>43</v>
      </c>
      <c r="C193" s="37">
        <v>45814</v>
      </c>
      <c r="D193" s="2" t="s">
        <v>176</v>
      </c>
      <c r="E193" s="2" t="s">
        <v>177</v>
      </c>
      <c r="F193" s="3">
        <v>48</v>
      </c>
      <c r="G193" s="41">
        <v>48</v>
      </c>
      <c r="H193" s="42">
        <v>1</v>
      </c>
      <c r="I193" s="2" t="s">
        <v>60</v>
      </c>
      <c r="J193" s="44"/>
      <c r="K193" s="2" t="s">
        <v>47</v>
      </c>
      <c r="L193" s="4" t="s">
        <v>48</v>
      </c>
      <c r="M193" s="2" t="s">
        <v>162</v>
      </c>
    </row>
    <row r="194" spans="1:13" ht="15.75" customHeight="1" x14ac:dyDescent="0.25">
      <c r="A194" s="5" t="s">
        <v>42</v>
      </c>
      <c r="B194" s="6" t="s">
        <v>49</v>
      </c>
      <c r="C194" s="38">
        <v>45814</v>
      </c>
      <c r="D194" s="5" t="s">
        <v>72</v>
      </c>
      <c r="E194" s="5" t="s">
        <v>51</v>
      </c>
      <c r="F194" s="6">
        <v>5</v>
      </c>
      <c r="G194" s="40">
        <v>5</v>
      </c>
      <c r="H194" s="43">
        <v>1</v>
      </c>
      <c r="I194" s="5" t="s">
        <v>55</v>
      </c>
      <c r="J194" s="44" t="s">
        <v>53</v>
      </c>
      <c r="K194" s="5" t="s">
        <v>47</v>
      </c>
      <c r="L194" s="7" t="s">
        <v>62</v>
      </c>
      <c r="M194" s="5" t="s">
        <v>162</v>
      </c>
    </row>
    <row r="195" spans="1:13" ht="15.75" customHeight="1" x14ac:dyDescent="0.25">
      <c r="A195" s="2" t="s">
        <v>42</v>
      </c>
      <c r="B195" s="3" t="s">
        <v>43</v>
      </c>
      <c r="C195" s="37">
        <v>45814</v>
      </c>
      <c r="D195" s="2" t="s">
        <v>178</v>
      </c>
      <c r="E195" s="2" t="s">
        <v>96</v>
      </c>
      <c r="F195" s="3">
        <v>220</v>
      </c>
      <c r="G195" s="41">
        <v>0</v>
      </c>
      <c r="H195" s="42">
        <v>0</v>
      </c>
      <c r="I195" s="2"/>
      <c r="J195" s="44"/>
      <c r="K195" s="2" t="s">
        <v>168</v>
      </c>
      <c r="L195" s="4" t="s">
        <v>48</v>
      </c>
      <c r="M195" s="2"/>
    </row>
    <row r="196" spans="1:13" ht="15.75" customHeight="1" x14ac:dyDescent="0.25">
      <c r="A196" s="5" t="s">
        <v>42</v>
      </c>
      <c r="B196" s="6" t="s">
        <v>43</v>
      </c>
      <c r="C196" s="38">
        <v>45817</v>
      </c>
      <c r="D196" s="5" t="s">
        <v>179</v>
      </c>
      <c r="E196" s="5" t="s">
        <v>180</v>
      </c>
      <c r="F196" s="6">
        <v>213</v>
      </c>
      <c r="G196" s="40">
        <v>116</v>
      </c>
      <c r="H196" s="43">
        <v>0.54460093896713602</v>
      </c>
      <c r="I196" s="5" t="s">
        <v>60</v>
      </c>
      <c r="J196" s="44"/>
      <c r="K196" s="5" t="s">
        <v>181</v>
      </c>
      <c r="L196" s="7" t="s">
        <v>62</v>
      </c>
      <c r="M196" s="5" t="s">
        <v>182</v>
      </c>
    </row>
    <row r="197" spans="1:13" ht="15.75" customHeight="1" x14ac:dyDescent="0.25">
      <c r="A197" s="2" t="s">
        <v>42</v>
      </c>
      <c r="B197" s="3" t="s">
        <v>43</v>
      </c>
      <c r="C197" s="37">
        <v>45817</v>
      </c>
      <c r="D197" s="2" t="s">
        <v>175</v>
      </c>
      <c r="E197" s="2" t="s">
        <v>45</v>
      </c>
      <c r="F197" s="3">
        <v>2</v>
      </c>
      <c r="G197" s="41">
        <v>2</v>
      </c>
      <c r="H197" s="42">
        <v>1</v>
      </c>
      <c r="I197" s="2" t="s">
        <v>70</v>
      </c>
      <c r="J197" s="44" t="s">
        <v>53</v>
      </c>
      <c r="K197" s="2" t="s">
        <v>47</v>
      </c>
      <c r="L197" s="4" t="s">
        <v>48</v>
      </c>
      <c r="M197" s="2" t="s">
        <v>162</v>
      </c>
    </row>
    <row r="198" spans="1:13" ht="15.75" customHeight="1" x14ac:dyDescent="0.25">
      <c r="A198" s="5" t="s">
        <v>42</v>
      </c>
      <c r="B198" s="6" t="s">
        <v>43</v>
      </c>
      <c r="C198" s="38">
        <v>45817</v>
      </c>
      <c r="D198" s="5" t="s">
        <v>58</v>
      </c>
      <c r="E198" s="5" t="s">
        <v>156</v>
      </c>
      <c r="F198" s="6">
        <v>80</v>
      </c>
      <c r="G198" s="40">
        <v>19</v>
      </c>
      <c r="H198" s="43">
        <v>0.23749999999999999</v>
      </c>
      <c r="I198" s="5" t="s">
        <v>60</v>
      </c>
      <c r="J198" s="44"/>
      <c r="K198" s="5" t="s">
        <v>47</v>
      </c>
      <c r="L198" s="7" t="s">
        <v>62</v>
      </c>
      <c r="M198" s="5"/>
    </row>
    <row r="199" spans="1:13" ht="15.75" customHeight="1" x14ac:dyDescent="0.25">
      <c r="A199" s="2" t="s">
        <v>42</v>
      </c>
      <c r="B199" s="3" t="s">
        <v>43</v>
      </c>
      <c r="C199" s="37">
        <v>45817</v>
      </c>
      <c r="D199" s="2" t="s">
        <v>183</v>
      </c>
      <c r="E199" s="2" t="s">
        <v>96</v>
      </c>
      <c r="F199" s="3">
        <v>7</v>
      </c>
      <c r="G199" s="41">
        <v>0</v>
      </c>
      <c r="H199" s="42">
        <v>0</v>
      </c>
      <c r="I199" s="2" t="s">
        <v>184</v>
      </c>
      <c r="J199" s="44"/>
      <c r="K199" s="2" t="s">
        <v>168</v>
      </c>
      <c r="L199" s="4" t="s">
        <v>48</v>
      </c>
      <c r="M199" s="2"/>
    </row>
    <row r="200" spans="1:13" ht="15.75" customHeight="1" x14ac:dyDescent="0.25">
      <c r="A200" s="5" t="s">
        <v>42</v>
      </c>
      <c r="B200" s="6" t="s">
        <v>43</v>
      </c>
      <c r="C200" s="38">
        <v>45817</v>
      </c>
      <c r="D200" s="5" t="s">
        <v>185</v>
      </c>
      <c r="E200" s="5" t="s">
        <v>96</v>
      </c>
      <c r="F200" s="6">
        <v>7</v>
      </c>
      <c r="G200" s="40">
        <v>0</v>
      </c>
      <c r="H200" s="43">
        <v>0</v>
      </c>
      <c r="I200" s="5" t="s">
        <v>70</v>
      </c>
      <c r="J200" s="44" t="s">
        <v>53</v>
      </c>
      <c r="K200" s="5" t="s">
        <v>168</v>
      </c>
      <c r="L200" s="4" t="s">
        <v>48</v>
      </c>
      <c r="M200" s="5"/>
    </row>
    <row r="201" spans="1:13" ht="15.75" customHeight="1" x14ac:dyDescent="0.25">
      <c r="A201" s="2" t="s">
        <v>42</v>
      </c>
      <c r="B201" s="3" t="s">
        <v>49</v>
      </c>
      <c r="C201" s="37">
        <v>45817</v>
      </c>
      <c r="D201" s="2" t="s">
        <v>186</v>
      </c>
      <c r="E201" s="2" t="s">
        <v>45</v>
      </c>
      <c r="F201" s="3">
        <v>1</v>
      </c>
      <c r="G201" s="41">
        <v>1</v>
      </c>
      <c r="H201" s="42">
        <v>1</v>
      </c>
      <c r="I201" s="2" t="s">
        <v>70</v>
      </c>
      <c r="J201" s="44" t="s">
        <v>53</v>
      </c>
      <c r="K201" s="2" t="s">
        <v>47</v>
      </c>
      <c r="L201" s="4" t="s">
        <v>48</v>
      </c>
      <c r="M201" s="2" t="s">
        <v>162</v>
      </c>
    </row>
    <row r="202" spans="1:13" ht="15.75" customHeight="1" x14ac:dyDescent="0.25">
      <c r="A202" s="5" t="s">
        <v>42</v>
      </c>
      <c r="B202" s="6" t="s">
        <v>43</v>
      </c>
      <c r="C202" s="38">
        <v>45818</v>
      </c>
      <c r="D202" s="5" t="s">
        <v>175</v>
      </c>
      <c r="E202" s="5" t="s">
        <v>45</v>
      </c>
      <c r="F202" s="6">
        <v>5</v>
      </c>
      <c r="G202" s="40">
        <v>3</v>
      </c>
      <c r="H202" s="43">
        <v>0.6</v>
      </c>
      <c r="I202" s="5" t="s">
        <v>70</v>
      </c>
      <c r="J202" s="44" t="s">
        <v>53</v>
      </c>
      <c r="K202" s="5" t="s">
        <v>47</v>
      </c>
      <c r="L202" s="4" t="s">
        <v>48</v>
      </c>
      <c r="M202" s="5" t="s">
        <v>162</v>
      </c>
    </row>
    <row r="203" spans="1:13" ht="15.75" customHeight="1" x14ac:dyDescent="0.25">
      <c r="A203" s="2" t="s">
        <v>42</v>
      </c>
      <c r="B203" s="3" t="s">
        <v>43</v>
      </c>
      <c r="C203" s="37">
        <v>45818</v>
      </c>
      <c r="D203" s="2" t="s">
        <v>179</v>
      </c>
      <c r="E203" s="2" t="s">
        <v>180</v>
      </c>
      <c r="F203" s="3">
        <v>112</v>
      </c>
      <c r="G203" s="41">
        <v>97</v>
      </c>
      <c r="H203" s="42">
        <v>0.86607142857142905</v>
      </c>
      <c r="I203" s="2" t="s">
        <v>60</v>
      </c>
      <c r="J203" s="44" t="s">
        <v>120</v>
      </c>
      <c r="K203" s="2" t="s">
        <v>15</v>
      </c>
      <c r="L203" s="4" t="s">
        <v>48</v>
      </c>
      <c r="M203" s="2" t="s">
        <v>15</v>
      </c>
    </row>
    <row r="204" spans="1:13" ht="15.75" customHeight="1" x14ac:dyDescent="0.25">
      <c r="A204" s="5" t="s">
        <v>42</v>
      </c>
      <c r="B204" s="6" t="s">
        <v>43</v>
      </c>
      <c r="C204" s="38">
        <v>45818</v>
      </c>
      <c r="D204" s="5" t="s">
        <v>116</v>
      </c>
      <c r="E204" s="5" t="s">
        <v>117</v>
      </c>
      <c r="F204" s="6">
        <v>18</v>
      </c>
      <c r="G204" s="40">
        <v>2</v>
      </c>
      <c r="H204" s="43">
        <v>0.11111111111111099</v>
      </c>
      <c r="I204" s="5" t="s">
        <v>70</v>
      </c>
      <c r="J204" s="44" t="s">
        <v>53</v>
      </c>
      <c r="K204" s="5" t="s">
        <v>47</v>
      </c>
      <c r="L204" s="4" t="s">
        <v>48</v>
      </c>
      <c r="M204" s="5" t="s">
        <v>162</v>
      </c>
    </row>
    <row r="205" spans="1:13" ht="15.75" customHeight="1" x14ac:dyDescent="0.25">
      <c r="A205" s="2" t="s">
        <v>42</v>
      </c>
      <c r="B205" s="3" t="s">
        <v>43</v>
      </c>
      <c r="C205" s="37">
        <v>45818</v>
      </c>
      <c r="D205" s="2" t="s">
        <v>165</v>
      </c>
      <c r="E205" s="2" t="s">
        <v>166</v>
      </c>
      <c r="F205" s="3">
        <v>20</v>
      </c>
      <c r="G205" s="41">
        <v>3</v>
      </c>
      <c r="H205" s="42">
        <v>0.15</v>
      </c>
      <c r="I205" s="2" t="s">
        <v>57</v>
      </c>
      <c r="J205" s="44" t="s">
        <v>53</v>
      </c>
      <c r="K205" s="2" t="s">
        <v>47</v>
      </c>
      <c r="L205" s="4" t="s">
        <v>48</v>
      </c>
      <c r="M205" s="2" t="s">
        <v>162</v>
      </c>
    </row>
    <row r="206" spans="1:13" ht="15.75" customHeight="1" x14ac:dyDescent="0.25">
      <c r="A206" s="5" t="s">
        <v>42</v>
      </c>
      <c r="B206" s="6" t="s">
        <v>43</v>
      </c>
      <c r="C206" s="38">
        <v>45818</v>
      </c>
      <c r="D206" s="5" t="s">
        <v>175</v>
      </c>
      <c r="E206" s="5" t="s">
        <v>45</v>
      </c>
      <c r="F206" s="6">
        <v>12</v>
      </c>
      <c r="G206" s="40">
        <v>10</v>
      </c>
      <c r="H206" s="43">
        <v>0.83333333333333404</v>
      </c>
      <c r="I206" s="5" t="s">
        <v>55</v>
      </c>
      <c r="J206" s="44" t="s">
        <v>53</v>
      </c>
      <c r="K206" s="5" t="s">
        <v>47</v>
      </c>
      <c r="L206" s="7" t="s">
        <v>62</v>
      </c>
      <c r="M206" s="5" t="s">
        <v>162</v>
      </c>
    </row>
    <row r="207" spans="1:13" ht="15.75" customHeight="1" x14ac:dyDescent="0.25">
      <c r="A207" s="2" t="s">
        <v>42</v>
      </c>
      <c r="B207" s="3" t="s">
        <v>49</v>
      </c>
      <c r="C207" s="37">
        <v>45818</v>
      </c>
      <c r="D207" s="2" t="s">
        <v>107</v>
      </c>
      <c r="E207" s="2" t="s">
        <v>51</v>
      </c>
      <c r="F207" s="3">
        <v>1</v>
      </c>
      <c r="G207" s="41">
        <v>0</v>
      </c>
      <c r="H207" s="42">
        <v>0</v>
      </c>
      <c r="I207" s="2" t="s">
        <v>168</v>
      </c>
      <c r="J207" s="44" t="s">
        <v>53</v>
      </c>
      <c r="K207" s="2" t="s">
        <v>168</v>
      </c>
      <c r="L207" s="4" t="s">
        <v>48</v>
      </c>
      <c r="M207" s="2" t="s">
        <v>162</v>
      </c>
    </row>
    <row r="208" spans="1:13" ht="15.75" customHeight="1" x14ac:dyDescent="0.25">
      <c r="A208" s="5" t="s">
        <v>42</v>
      </c>
      <c r="B208" s="6" t="s">
        <v>49</v>
      </c>
      <c r="C208" s="38">
        <v>45819</v>
      </c>
      <c r="D208" s="5" t="s">
        <v>107</v>
      </c>
      <c r="E208" s="5" t="s">
        <v>51</v>
      </c>
      <c r="F208" s="6">
        <v>7</v>
      </c>
      <c r="G208" s="40">
        <v>3</v>
      </c>
      <c r="H208" s="43">
        <v>0.42857142857142899</v>
      </c>
      <c r="I208" s="5" t="s">
        <v>52</v>
      </c>
      <c r="J208" s="44" t="s">
        <v>53</v>
      </c>
      <c r="K208" s="5" t="s">
        <v>47</v>
      </c>
      <c r="L208" s="4" t="s">
        <v>48</v>
      </c>
      <c r="M208" s="5" t="s">
        <v>162</v>
      </c>
    </row>
    <row r="209" spans="1:13" ht="15.75" customHeight="1" x14ac:dyDescent="0.25">
      <c r="A209" s="2" t="s">
        <v>42</v>
      </c>
      <c r="B209" s="3" t="s">
        <v>43</v>
      </c>
      <c r="C209" s="37">
        <v>45819</v>
      </c>
      <c r="D209" s="2" t="s">
        <v>175</v>
      </c>
      <c r="E209" s="2" t="s">
        <v>45</v>
      </c>
      <c r="F209" s="3">
        <v>9</v>
      </c>
      <c r="G209" s="41">
        <v>3</v>
      </c>
      <c r="H209" s="42">
        <v>0.33333333333333298</v>
      </c>
      <c r="I209" s="2" t="s">
        <v>70</v>
      </c>
      <c r="J209" s="44" t="s">
        <v>53</v>
      </c>
      <c r="K209" s="2" t="s">
        <v>47</v>
      </c>
      <c r="L209" s="4" t="s">
        <v>48</v>
      </c>
      <c r="M209" s="2" t="s">
        <v>162</v>
      </c>
    </row>
    <row r="210" spans="1:13" ht="15.75" customHeight="1" x14ac:dyDescent="0.25">
      <c r="A210" s="5" t="s">
        <v>42</v>
      </c>
      <c r="B210" s="6" t="s">
        <v>43</v>
      </c>
      <c r="C210" s="38">
        <v>45820</v>
      </c>
      <c r="D210" s="5" t="s">
        <v>149</v>
      </c>
      <c r="E210" s="5" t="s">
        <v>45</v>
      </c>
      <c r="F210" s="6">
        <v>3</v>
      </c>
      <c r="G210" s="40">
        <v>3</v>
      </c>
      <c r="H210" s="43">
        <v>1</v>
      </c>
      <c r="I210" s="5" t="s">
        <v>52</v>
      </c>
      <c r="J210" s="44" t="s">
        <v>53</v>
      </c>
      <c r="K210" s="5" t="s">
        <v>47</v>
      </c>
      <c r="L210" s="7" t="s">
        <v>62</v>
      </c>
      <c r="M210" s="5" t="s">
        <v>162</v>
      </c>
    </row>
    <row r="211" spans="1:13" ht="15.75" customHeight="1" x14ac:dyDescent="0.25">
      <c r="A211" s="2" t="s">
        <v>42</v>
      </c>
      <c r="B211" s="3" t="s">
        <v>43</v>
      </c>
      <c r="C211" s="37">
        <v>45820</v>
      </c>
      <c r="D211" s="2" t="s">
        <v>175</v>
      </c>
      <c r="E211" s="2" t="s">
        <v>45</v>
      </c>
      <c r="F211" s="3">
        <v>8</v>
      </c>
      <c r="G211" s="41">
        <v>3</v>
      </c>
      <c r="H211" s="42">
        <v>0.375</v>
      </c>
      <c r="I211" s="2" t="s">
        <v>52</v>
      </c>
      <c r="J211" s="44" t="s">
        <v>53</v>
      </c>
      <c r="K211" s="2" t="s">
        <v>47</v>
      </c>
      <c r="L211" s="7" t="s">
        <v>62</v>
      </c>
      <c r="M211" s="2" t="s">
        <v>162</v>
      </c>
    </row>
    <row r="212" spans="1:13" ht="15.75" customHeight="1" x14ac:dyDescent="0.25">
      <c r="A212" s="5" t="s">
        <v>42</v>
      </c>
      <c r="B212" s="6" t="s">
        <v>43</v>
      </c>
      <c r="C212" s="38">
        <v>45820</v>
      </c>
      <c r="D212" s="5" t="s">
        <v>175</v>
      </c>
      <c r="E212" s="5" t="s">
        <v>45</v>
      </c>
      <c r="F212" s="6">
        <v>1</v>
      </c>
      <c r="G212" s="40">
        <v>1</v>
      </c>
      <c r="H212" s="43">
        <v>1</v>
      </c>
      <c r="I212" s="5" t="s">
        <v>52</v>
      </c>
      <c r="J212" s="44" t="s">
        <v>53</v>
      </c>
      <c r="K212" s="5" t="s">
        <v>47</v>
      </c>
      <c r="L212" s="4" t="s">
        <v>48</v>
      </c>
      <c r="M212" s="5" t="s">
        <v>162</v>
      </c>
    </row>
    <row r="213" spans="1:13" ht="15.75" customHeight="1" x14ac:dyDescent="0.25">
      <c r="A213" s="2" t="s">
        <v>42</v>
      </c>
      <c r="B213" s="3" t="s">
        <v>43</v>
      </c>
      <c r="C213" s="37">
        <v>45820</v>
      </c>
      <c r="D213" s="2" t="s">
        <v>176</v>
      </c>
      <c r="E213" s="2" t="s">
        <v>177</v>
      </c>
      <c r="F213" s="3">
        <v>70</v>
      </c>
      <c r="G213" s="41">
        <v>50</v>
      </c>
      <c r="H213" s="42">
        <v>0.71428571428571397</v>
      </c>
      <c r="I213" s="2" t="s">
        <v>60</v>
      </c>
      <c r="J213" s="44" t="s">
        <v>120</v>
      </c>
      <c r="K213" s="2" t="s">
        <v>47</v>
      </c>
      <c r="L213" s="4" t="s">
        <v>48</v>
      </c>
      <c r="M213" s="45" t="s">
        <v>255</v>
      </c>
    </row>
    <row r="214" spans="1:13" ht="15.75" customHeight="1" x14ac:dyDescent="0.25">
      <c r="A214" s="5" t="s">
        <v>42</v>
      </c>
      <c r="B214" s="6" t="s">
        <v>43</v>
      </c>
      <c r="C214" s="38">
        <v>45820</v>
      </c>
      <c r="D214" s="5" t="s">
        <v>187</v>
      </c>
      <c r="E214" s="5" t="s">
        <v>177</v>
      </c>
      <c r="F214" s="6">
        <v>40</v>
      </c>
      <c r="G214" s="40">
        <v>3</v>
      </c>
      <c r="H214" s="43">
        <v>7.4999999999999997E-2</v>
      </c>
      <c r="I214" s="5" t="s">
        <v>60</v>
      </c>
      <c r="J214" s="44" t="s">
        <v>120</v>
      </c>
      <c r="K214" s="5" t="s">
        <v>47</v>
      </c>
      <c r="L214" s="7" t="s">
        <v>62</v>
      </c>
      <c r="M214" s="5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N8"/>
  <sheetViews>
    <sheetView showGridLines="0" zoomScaleNormal="100" workbookViewId="0">
      <selection activeCell="E31" sqref="E31"/>
    </sheetView>
  </sheetViews>
  <sheetFormatPr defaultColWidth="8.7109375" defaultRowHeight="15" x14ac:dyDescent="0.25"/>
  <cols>
    <col min="1" max="2" width="14" customWidth="1"/>
    <col min="3" max="3" width="12" customWidth="1"/>
    <col min="4" max="5" width="14" customWidth="1"/>
    <col min="6" max="6" width="12" customWidth="1"/>
    <col min="7" max="7" width="19.42578125" bestFit="1" customWidth="1"/>
    <col min="8" max="8" width="14" customWidth="1"/>
  </cols>
  <sheetData>
    <row r="1" spans="1:14" ht="31.5" customHeight="1" x14ac:dyDescent="0.25">
      <c r="A1" s="47" t="s">
        <v>188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8" customHeight="1" x14ac:dyDescent="0.25">
      <c r="A2" s="48" t="s">
        <v>189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4" spans="1:14" ht="21.75" customHeight="1" x14ac:dyDescent="0.25">
      <c r="A4" s="1" t="s">
        <v>190</v>
      </c>
      <c r="B4" s="1" t="s">
        <v>34</v>
      </c>
      <c r="C4" s="1" t="s">
        <v>35</v>
      </c>
      <c r="D4" s="1" t="s">
        <v>191</v>
      </c>
      <c r="E4" s="1" t="s">
        <v>14</v>
      </c>
      <c r="F4" s="1" t="s">
        <v>15</v>
      </c>
      <c r="G4" s="1" t="s">
        <v>192</v>
      </c>
      <c r="H4" s="1" t="s">
        <v>193</v>
      </c>
    </row>
    <row r="5" spans="1:14" ht="19.5" customHeight="1" x14ac:dyDescent="0.25">
      <c r="A5" s="8" t="s">
        <v>194</v>
      </c>
      <c r="B5" s="9">
        <v>9348</v>
      </c>
      <c r="C5" s="9">
        <v>1094</v>
      </c>
      <c r="D5" s="10">
        <v>0.117030380830124</v>
      </c>
      <c r="E5" s="9">
        <v>871</v>
      </c>
      <c r="F5" s="9">
        <v>216</v>
      </c>
      <c r="G5" s="11">
        <v>0.79616087751371101</v>
      </c>
      <c r="H5" s="12">
        <v>0.197440585009141</v>
      </c>
    </row>
    <row r="6" spans="1:14" ht="19.5" customHeight="1" x14ac:dyDescent="0.25">
      <c r="A6" s="8" t="s">
        <v>195</v>
      </c>
      <c r="B6" s="13">
        <v>14518</v>
      </c>
      <c r="C6" s="13">
        <v>970</v>
      </c>
      <c r="D6" s="10">
        <v>6.6813610690177702E-2</v>
      </c>
      <c r="E6" s="13">
        <v>804</v>
      </c>
      <c r="F6" s="13">
        <v>83</v>
      </c>
      <c r="G6" s="11">
        <v>0.82886597938144302</v>
      </c>
      <c r="H6" s="12">
        <v>8.5567010309278393E-2</v>
      </c>
    </row>
    <row r="7" spans="1:14" ht="19.5" customHeight="1" x14ac:dyDescent="0.25">
      <c r="A7" s="8" t="s">
        <v>196</v>
      </c>
      <c r="B7" s="9">
        <v>4339</v>
      </c>
      <c r="C7" s="9">
        <v>972</v>
      </c>
      <c r="D7" s="10">
        <v>0.22401474994238299</v>
      </c>
      <c r="E7" s="9">
        <v>444</v>
      </c>
      <c r="F7" s="9">
        <v>412</v>
      </c>
      <c r="G7" s="11">
        <v>0.45679012345678999</v>
      </c>
      <c r="H7" s="12">
        <v>0.42386831275720199</v>
      </c>
    </row>
    <row r="8" spans="1:14" ht="21.75" customHeight="1" x14ac:dyDescent="0.25">
      <c r="A8" s="14" t="s">
        <v>197</v>
      </c>
      <c r="B8" s="14">
        <v>28205</v>
      </c>
      <c r="C8" s="14">
        <v>3036</v>
      </c>
      <c r="D8" s="15">
        <v>0.107640489274951</v>
      </c>
      <c r="E8" s="14">
        <v>2119</v>
      </c>
      <c r="F8" s="14">
        <v>711</v>
      </c>
      <c r="G8" s="16"/>
      <c r="H8" s="16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32D2D"/>
  </sheetPr>
  <dimension ref="A1:N14"/>
  <sheetViews>
    <sheetView showGridLines="0" zoomScaleNormal="100" workbookViewId="0">
      <selection activeCell="E20" sqref="E20"/>
    </sheetView>
  </sheetViews>
  <sheetFormatPr defaultColWidth="8.7109375" defaultRowHeight="15" x14ac:dyDescent="0.25"/>
  <cols>
    <col min="1" max="1" width="5" customWidth="1"/>
    <col min="2" max="2" width="28" customWidth="1"/>
    <col min="3" max="4" width="14" customWidth="1"/>
    <col min="5" max="5" width="16" customWidth="1"/>
  </cols>
  <sheetData>
    <row r="1" spans="1:14" ht="31.5" customHeight="1" x14ac:dyDescent="0.25">
      <c r="A1" s="47" t="s">
        <v>198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8" customHeight="1" x14ac:dyDescent="0.25">
      <c r="A2" s="48" t="s">
        <v>199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4" spans="1:14" ht="21.75" customHeight="1" x14ac:dyDescent="0.25">
      <c r="A4" s="1" t="s">
        <v>200</v>
      </c>
      <c r="B4" s="1" t="s">
        <v>33</v>
      </c>
      <c r="C4" s="1" t="s">
        <v>35</v>
      </c>
      <c r="D4" s="1" t="s">
        <v>201</v>
      </c>
      <c r="E4" s="1" t="s">
        <v>202</v>
      </c>
    </row>
    <row r="5" spans="1:14" ht="19.5" customHeight="1" x14ac:dyDescent="0.25">
      <c r="A5" s="17">
        <v>1</v>
      </c>
      <c r="B5" s="18" t="s">
        <v>76</v>
      </c>
      <c r="C5" s="17">
        <v>1158</v>
      </c>
      <c r="D5" s="19">
        <v>0.38142292490118601</v>
      </c>
      <c r="E5" s="20" t="s">
        <v>203</v>
      </c>
    </row>
    <row r="6" spans="1:14" ht="19.5" customHeight="1" x14ac:dyDescent="0.25">
      <c r="A6" s="21">
        <v>2</v>
      </c>
      <c r="B6" s="22" t="s">
        <v>173</v>
      </c>
      <c r="C6" s="21">
        <v>315</v>
      </c>
      <c r="D6" s="23">
        <v>0.103754940711462</v>
      </c>
      <c r="E6" s="20" t="s">
        <v>203</v>
      </c>
    </row>
    <row r="7" spans="1:14" ht="19.5" customHeight="1" x14ac:dyDescent="0.25">
      <c r="A7" s="17">
        <v>3</v>
      </c>
      <c r="B7" s="18" t="s">
        <v>180</v>
      </c>
      <c r="C7" s="17">
        <v>213</v>
      </c>
      <c r="D7" s="19">
        <v>7.0158102766798403E-2</v>
      </c>
      <c r="E7" s="20" t="s">
        <v>204</v>
      </c>
    </row>
    <row r="8" spans="1:14" ht="19.5" customHeight="1" x14ac:dyDescent="0.25">
      <c r="A8" s="21">
        <v>4</v>
      </c>
      <c r="B8" s="22" t="s">
        <v>45</v>
      </c>
      <c r="C8" s="21">
        <v>169</v>
      </c>
      <c r="D8" s="23">
        <v>5.5665349143610002E-2</v>
      </c>
      <c r="E8" s="20" t="s">
        <v>204</v>
      </c>
    </row>
    <row r="9" spans="1:14" ht="19.5" customHeight="1" x14ac:dyDescent="0.25">
      <c r="A9" s="17">
        <v>5</v>
      </c>
      <c r="B9" s="18" t="s">
        <v>167</v>
      </c>
      <c r="C9" s="17">
        <v>129</v>
      </c>
      <c r="D9" s="19">
        <v>4.2490118577075103E-2</v>
      </c>
      <c r="E9" s="24" t="s">
        <v>205</v>
      </c>
    </row>
    <row r="10" spans="1:14" ht="19.5" customHeight="1" x14ac:dyDescent="0.25">
      <c r="A10" s="21">
        <v>6</v>
      </c>
      <c r="B10" s="22" t="s">
        <v>103</v>
      </c>
      <c r="C10" s="21">
        <v>120</v>
      </c>
      <c r="D10" s="23">
        <v>3.9525691699604702E-2</v>
      </c>
      <c r="E10" s="24" t="s">
        <v>205</v>
      </c>
    </row>
    <row r="11" spans="1:14" ht="19.5" customHeight="1" x14ac:dyDescent="0.25">
      <c r="A11" s="17">
        <v>7</v>
      </c>
      <c r="B11" s="18" t="s">
        <v>177</v>
      </c>
      <c r="C11" s="17">
        <v>101</v>
      </c>
      <c r="D11" s="19">
        <v>3.3267457180500698E-2</v>
      </c>
      <c r="E11" s="24" t="s">
        <v>205</v>
      </c>
    </row>
    <row r="12" spans="1:14" ht="19.5" customHeight="1" x14ac:dyDescent="0.25">
      <c r="A12" s="21">
        <v>8</v>
      </c>
      <c r="B12" s="22" t="s">
        <v>96</v>
      </c>
      <c r="C12" s="21">
        <v>100</v>
      </c>
      <c r="D12" s="23">
        <v>3.2938076416337302E-2</v>
      </c>
      <c r="E12" s="25" t="s">
        <v>206</v>
      </c>
    </row>
    <row r="13" spans="1:14" ht="19.5" customHeight="1" x14ac:dyDescent="0.25">
      <c r="A13" s="17">
        <v>9</v>
      </c>
      <c r="B13" s="18" t="s">
        <v>172</v>
      </c>
      <c r="C13" s="17">
        <v>96</v>
      </c>
      <c r="D13" s="19">
        <v>3.1620553359683799E-2</v>
      </c>
      <c r="E13" s="25" t="s">
        <v>206</v>
      </c>
    </row>
    <row r="14" spans="1:14" ht="19.5" customHeight="1" x14ac:dyDescent="0.25">
      <c r="A14" s="21">
        <v>10</v>
      </c>
      <c r="B14" s="22" t="s">
        <v>109</v>
      </c>
      <c r="C14" s="21">
        <v>70</v>
      </c>
      <c r="D14" s="23">
        <v>2.30566534914361E-2</v>
      </c>
      <c r="E14" s="25" t="s">
        <v>206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33AB7"/>
  </sheetPr>
  <dimension ref="A1:N11"/>
  <sheetViews>
    <sheetView showGridLines="0" topLeftCell="A7" zoomScaleNormal="100" workbookViewId="0">
      <selection activeCell="S10" sqref="S10"/>
    </sheetView>
  </sheetViews>
  <sheetFormatPr defaultColWidth="8.7109375" defaultRowHeight="15" x14ac:dyDescent="0.25"/>
  <cols>
    <col min="1" max="1" width="30.5703125" bestFit="1" customWidth="1"/>
    <col min="2" max="3" width="14" customWidth="1"/>
    <col min="4" max="4" width="24" customWidth="1"/>
  </cols>
  <sheetData>
    <row r="1" spans="1:14" ht="31.5" customHeight="1" x14ac:dyDescent="0.25">
      <c r="A1" s="47" t="s">
        <v>207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8" customHeight="1" x14ac:dyDescent="0.25">
      <c r="A2" s="48" t="s">
        <v>208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4" spans="1:14" ht="21.75" customHeight="1" x14ac:dyDescent="0.25">
      <c r="A4" s="1" t="s">
        <v>209</v>
      </c>
      <c r="B4" s="1" t="s">
        <v>35</v>
      </c>
      <c r="C4" s="1" t="s">
        <v>201</v>
      </c>
      <c r="D4" s="1" t="s">
        <v>210</v>
      </c>
    </row>
    <row r="5" spans="1:14" ht="18" customHeight="1" x14ac:dyDescent="0.25">
      <c r="A5" s="18" t="s">
        <v>60</v>
      </c>
      <c r="B5" s="17">
        <v>1217</v>
      </c>
      <c r="C5" s="19">
        <v>0.41170500676589999</v>
      </c>
      <c r="D5" s="2" t="s">
        <v>47</v>
      </c>
    </row>
    <row r="6" spans="1:14" ht="18" customHeight="1" x14ac:dyDescent="0.25">
      <c r="A6" s="22" t="s">
        <v>55</v>
      </c>
      <c r="B6" s="21">
        <v>862</v>
      </c>
      <c r="C6" s="23">
        <v>0.291610284167794</v>
      </c>
      <c r="D6" s="5" t="s">
        <v>47</v>
      </c>
    </row>
    <row r="7" spans="1:14" ht="18" customHeight="1" x14ac:dyDescent="0.25">
      <c r="A7" s="18" t="s">
        <v>52</v>
      </c>
      <c r="B7" s="17">
        <v>530</v>
      </c>
      <c r="C7" s="19">
        <v>0.17929634641407299</v>
      </c>
      <c r="D7" s="2" t="s">
        <v>47</v>
      </c>
    </row>
    <row r="8" spans="1:14" ht="18" customHeight="1" x14ac:dyDescent="0.25">
      <c r="A8" s="22" t="s">
        <v>70</v>
      </c>
      <c r="B8" s="21">
        <v>186</v>
      </c>
      <c r="C8" s="23">
        <v>6.2922868741542598E-2</v>
      </c>
      <c r="D8" s="5" t="s">
        <v>47</v>
      </c>
    </row>
    <row r="9" spans="1:14" ht="18" customHeight="1" x14ac:dyDescent="0.25">
      <c r="A9" s="18" t="s">
        <v>57</v>
      </c>
      <c r="B9" s="17">
        <v>129</v>
      </c>
      <c r="C9" s="19">
        <v>4.3640054127198902E-2</v>
      </c>
      <c r="D9" s="2" t="s">
        <v>47</v>
      </c>
    </row>
    <row r="10" spans="1:14" ht="18" customHeight="1" x14ac:dyDescent="0.25">
      <c r="A10" s="22" t="s">
        <v>46</v>
      </c>
      <c r="B10" s="21">
        <v>21</v>
      </c>
      <c r="C10" s="23">
        <v>7.1041948579160996E-3</v>
      </c>
      <c r="D10" s="5" t="s">
        <v>47</v>
      </c>
    </row>
    <row r="11" spans="1:14" ht="18" customHeight="1" x14ac:dyDescent="0.25">
      <c r="A11" s="18" t="s">
        <v>71</v>
      </c>
      <c r="B11" s="17">
        <v>11</v>
      </c>
      <c r="C11" s="19">
        <v>3.7212449255750999E-3</v>
      </c>
      <c r="D11" s="2" t="s">
        <v>47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85FA5"/>
  </sheetPr>
  <dimension ref="A1:N11"/>
  <sheetViews>
    <sheetView showGridLines="0" zoomScaleNormal="100" workbookViewId="0">
      <selection activeCell="X18" sqref="X18"/>
    </sheetView>
  </sheetViews>
  <sheetFormatPr defaultColWidth="8.7109375" defaultRowHeight="15" x14ac:dyDescent="0.25"/>
  <cols>
    <col min="1" max="1" width="14" customWidth="1"/>
    <col min="2" max="3" width="12" customWidth="1"/>
    <col min="5" max="5" width="16" customWidth="1"/>
    <col min="6" max="7" width="12" customWidth="1"/>
  </cols>
  <sheetData>
    <row r="1" spans="1:14" ht="31.5" customHeight="1" x14ac:dyDescent="0.25">
      <c r="A1" s="47" t="s">
        <v>211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8" customHeight="1" x14ac:dyDescent="0.25">
      <c r="A2" s="48" t="s">
        <v>212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4" spans="1:14" ht="21.75" customHeight="1" x14ac:dyDescent="0.25">
      <c r="A4" s="1" t="s">
        <v>213</v>
      </c>
      <c r="B4" s="1" t="s">
        <v>35</v>
      </c>
      <c r="C4" s="1" t="s">
        <v>214</v>
      </c>
      <c r="E4" s="1" t="s">
        <v>39</v>
      </c>
      <c r="F4" s="1" t="s">
        <v>35</v>
      </c>
      <c r="G4" s="1" t="s">
        <v>214</v>
      </c>
    </row>
    <row r="5" spans="1:14" ht="18" customHeight="1" x14ac:dyDescent="0.25">
      <c r="A5" s="9" t="s">
        <v>43</v>
      </c>
      <c r="B5" s="17">
        <v>2731</v>
      </c>
      <c r="C5" s="19">
        <v>0.89953886693017104</v>
      </c>
      <c r="E5" s="24" t="s">
        <v>215</v>
      </c>
      <c r="F5" s="24">
        <v>2122</v>
      </c>
      <c r="G5" s="11">
        <v>0.69894598155467702</v>
      </c>
    </row>
    <row r="6" spans="1:14" ht="18" customHeight="1" x14ac:dyDescent="0.25">
      <c r="A6" s="13" t="s">
        <v>101</v>
      </c>
      <c r="B6" s="21">
        <v>163</v>
      </c>
      <c r="C6" s="23">
        <v>5.3689064558629797E-2</v>
      </c>
      <c r="E6" s="20" t="s">
        <v>216</v>
      </c>
      <c r="F6" s="20">
        <v>713</v>
      </c>
      <c r="G6" s="12">
        <v>0.234848484848485</v>
      </c>
    </row>
    <row r="7" spans="1:14" ht="18" customHeight="1" x14ac:dyDescent="0.25">
      <c r="A7" s="9" t="s">
        <v>49</v>
      </c>
      <c r="B7" s="17">
        <v>90</v>
      </c>
      <c r="C7" s="19">
        <v>2.9644268774703601E-2</v>
      </c>
      <c r="E7" s="26" t="s">
        <v>217</v>
      </c>
      <c r="F7" s="26">
        <v>116</v>
      </c>
      <c r="G7" s="27">
        <v>3.8208168642951297E-2</v>
      </c>
    </row>
    <row r="8" spans="1:14" ht="18" customHeight="1" x14ac:dyDescent="0.25">
      <c r="A8" s="13" t="s">
        <v>132</v>
      </c>
      <c r="B8" s="21">
        <v>24</v>
      </c>
      <c r="C8" s="23">
        <v>7.9051383399209498E-3</v>
      </c>
      <c r="E8" s="25" t="s">
        <v>218</v>
      </c>
      <c r="F8" s="25">
        <v>80</v>
      </c>
      <c r="G8" s="28">
        <v>2.63504611330698E-2</v>
      </c>
    </row>
    <row r="9" spans="1:14" ht="18" customHeight="1" x14ac:dyDescent="0.25">
      <c r="A9" s="9" t="s">
        <v>143</v>
      </c>
      <c r="B9" s="17">
        <v>21</v>
      </c>
      <c r="C9" s="19">
        <v>6.91699604743083E-3</v>
      </c>
      <c r="E9" s="29" t="s">
        <v>219</v>
      </c>
      <c r="F9" s="29">
        <v>5</v>
      </c>
      <c r="G9" s="30">
        <v>1.6469038208168599E-3</v>
      </c>
    </row>
    <row r="10" spans="1:14" ht="18" customHeight="1" x14ac:dyDescent="0.25">
      <c r="A10" s="13" t="s">
        <v>91</v>
      </c>
      <c r="B10" s="21">
        <v>5</v>
      </c>
      <c r="C10" s="23">
        <v>1.6469038208168599E-3</v>
      </c>
    </row>
    <row r="11" spans="1:14" ht="18" customHeight="1" x14ac:dyDescent="0.25">
      <c r="A11" s="9" t="s">
        <v>139</v>
      </c>
      <c r="B11" s="17">
        <v>2</v>
      </c>
      <c r="C11" s="19">
        <v>6.5876152832674596E-4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75623"/>
  </sheetPr>
  <dimension ref="A1:N10"/>
  <sheetViews>
    <sheetView showGridLines="0" zoomScaleNormal="100" workbookViewId="0">
      <selection activeCell="H8" sqref="H8"/>
    </sheetView>
  </sheetViews>
  <sheetFormatPr defaultColWidth="8.7109375" defaultRowHeight="15" x14ac:dyDescent="0.25"/>
  <cols>
    <col min="1" max="1" width="2" customWidth="1"/>
    <col min="2" max="2" width="34.28515625" bestFit="1" customWidth="1"/>
    <col min="3" max="3" width="20" customWidth="1"/>
    <col min="4" max="4" width="24.140625" bestFit="1" customWidth="1"/>
    <col min="5" max="5" width="31" bestFit="1" customWidth="1"/>
  </cols>
  <sheetData>
    <row r="1" spans="1:14" ht="31.5" customHeight="1" x14ac:dyDescent="0.25">
      <c r="A1" s="47" t="s">
        <v>220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8" customHeight="1" x14ac:dyDescent="0.25">
      <c r="A2" s="48" t="s">
        <v>221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4" spans="1:14" ht="21.75" customHeight="1" x14ac:dyDescent="0.25">
      <c r="B4" s="14" t="s">
        <v>222</v>
      </c>
      <c r="C4" s="14" t="s">
        <v>223</v>
      </c>
      <c r="D4" s="14" t="s">
        <v>224</v>
      </c>
      <c r="E4" s="14" t="s">
        <v>225</v>
      </c>
    </row>
    <row r="5" spans="1:14" ht="36" customHeight="1" x14ac:dyDescent="0.25">
      <c r="B5" s="31" t="s">
        <v>226</v>
      </c>
      <c r="C5" s="32" t="s">
        <v>227</v>
      </c>
      <c r="D5" s="33" t="s">
        <v>228</v>
      </c>
      <c r="E5" s="34" t="s">
        <v>229</v>
      </c>
    </row>
    <row r="6" spans="1:14" ht="36" customHeight="1" x14ac:dyDescent="0.25">
      <c r="B6" s="31" t="s">
        <v>230</v>
      </c>
      <c r="C6" s="35" t="s">
        <v>231</v>
      </c>
      <c r="D6" s="33" t="s">
        <v>232</v>
      </c>
      <c r="E6" s="34" t="s">
        <v>233</v>
      </c>
    </row>
    <row r="7" spans="1:14" ht="36" customHeight="1" x14ac:dyDescent="0.25">
      <c r="B7" s="31" t="s">
        <v>234</v>
      </c>
      <c r="C7" s="32" t="s">
        <v>235</v>
      </c>
      <c r="D7" s="33" t="s">
        <v>236</v>
      </c>
      <c r="E7" s="34" t="s">
        <v>237</v>
      </c>
    </row>
    <row r="8" spans="1:14" ht="36" customHeight="1" x14ac:dyDescent="0.25">
      <c r="B8" s="31" t="s">
        <v>238</v>
      </c>
      <c r="C8" s="35" t="s">
        <v>239</v>
      </c>
      <c r="D8" s="33" t="s">
        <v>240</v>
      </c>
      <c r="E8" s="34" t="s">
        <v>241</v>
      </c>
    </row>
    <row r="9" spans="1:14" ht="36" customHeight="1" x14ac:dyDescent="0.25">
      <c r="B9" s="31" t="s">
        <v>242</v>
      </c>
      <c r="C9" s="32" t="s">
        <v>243</v>
      </c>
      <c r="D9" s="33" t="s">
        <v>244</v>
      </c>
      <c r="E9" s="34" t="s">
        <v>245</v>
      </c>
    </row>
    <row r="10" spans="1:14" ht="36" customHeight="1" x14ac:dyDescent="0.25">
      <c r="B10" s="31" t="s">
        <v>246</v>
      </c>
      <c r="C10" s="35" t="s">
        <v>247</v>
      </c>
      <c r="D10" s="33" t="s">
        <v>248</v>
      </c>
      <c r="E10" s="34" t="s">
        <v>249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DASHBOARD</vt:lpstr>
      <vt:lpstr>DADOS_NC</vt:lpstr>
      <vt:lpstr>KPI_MÊS</vt:lpstr>
      <vt:lpstr>RANKING_PEÇAS</vt:lpstr>
      <vt:lpstr>TIPO_NC</vt:lpstr>
      <vt:lpstr>CLIENTE_DECISÃO</vt:lpstr>
      <vt:lpstr>CONEXÃO_LASER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Cleber Lopes</cp:lastModifiedBy>
  <cp:revision>1</cp:revision>
  <dcterms:created xsi:type="dcterms:W3CDTF">2026-05-01T19:01:25Z</dcterms:created>
  <dcterms:modified xsi:type="dcterms:W3CDTF">2026-05-20T11:49:33Z</dcterms:modified>
  <dc:language>en-US</dc:language>
</cp:coreProperties>
</file>